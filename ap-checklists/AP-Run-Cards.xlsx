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A Review" sheetId="2" state="visible" r:id="rId4"/>
    <sheet name="B Run build" sheetId="3" state="visible" r:id="rId5"/>
    <sheet name="C Release" sheetId="4" state="visible" r:id="rId6"/>
    <sheet name="D Post-run" sheetId="5" state="visible" r:id="rId7"/>
    <sheet name="E Bank change" sheetId="6" state="visible" r:id="rId8"/>
    <sheet name="Run lo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<sst xmlns="http://schemas.openxmlformats.org/spreadsheetml/2006/main" count="218" uniqueCount="171">
  <si>
    <t xml:space="preserve">AP RUN CARDS</t>
  </si>
  <si>
    <t xml:space="preserve">REVIEW  ·  SCHEDULE  ·  PAY</t>
  </si>
  <si>
    <t xml:space="preserve">Run one card at a time, never two. Tick column A with the ✓ dropdown. Yellow cells are yours to fill in — replace the [bracketed prompts] with how it actually works at your shop, once, and they stay. Clear the ✓ column to start a new run.</t>
  </si>
  <si>
    <t xml:space="preserve">THE RUN, IN ORDER</t>
  </si>
  <si>
    <t xml:space="preserve">A</t>
  </si>
  <si>
    <t xml:space="preserve">Invoice review gate</t>
  </si>
  <si>
    <t xml:space="preserve">Do-confirm  ·  Per invoice</t>
  </si>
  <si>
    <t xml:space="preserve">Open →</t>
  </si>
  <si>
    <t xml:space="preserve">B</t>
  </si>
  <si>
    <t xml:space="preserve">Run build</t>
  </si>
  <si>
    <t xml:space="preserve">Read-do  ·  Per run</t>
  </si>
  <si>
    <t xml:space="preserve">C</t>
  </si>
  <si>
    <t xml:space="preserve">Release</t>
  </si>
  <si>
    <t xml:space="preserve">D</t>
  </si>
  <si>
    <t xml:space="preserve">Post-run</t>
  </si>
  <si>
    <t xml:space="preserve">Read-do  ·  Same day as the run</t>
  </si>
  <si>
    <t xml:space="preserve">Card E is triggered, not scheduled — it runs when something sets it off, never in sequence.</t>
  </si>
  <si>
    <t xml:space="preserve">E</t>
  </si>
  <si>
    <t xml:space="preserve">Vendor bank or remit-to change</t>
  </si>
  <si>
    <t xml:space="preserve">Read-do  ·  Triggered, never scheduled</t>
  </si>
  <si>
    <t xml:space="preserve">NEVER SKIP THESE — EVEN ON THE WORST DAY</t>
  </si>
  <si>
    <t xml:space="preserve">■</t>
  </si>
  <si>
    <t xml:space="preserve">Duplicate check</t>
  </si>
  <si>
    <t xml:space="preserve">Approval present, and from someone with authority for the amount</t>
  </si>
  <si>
    <t xml:space="preserve">Remit-to matches the vendor master</t>
  </si>
  <si>
    <t xml:space="preserve">Batch total and count reconciled at release</t>
  </si>
  <si>
    <t xml:space="preserve">Funding account correct</t>
  </si>
  <si>
    <t xml:space="preserve">Everything else on every card is hygiene and can flex under pressure. These five don't. Replace this list once you know what has actually gone wrong for you — it should be evidence, not a guess.</t>
  </si>
  <si>
    <t xml:space="preserve">IF YOU SEE THIS, STOP AND RUN THAT</t>
  </si>
  <si>
    <t xml:space="preserve">New vendor, or a changed remit-to or bank detail</t>
  </si>
  <si>
    <t xml:space="preserve">Card E</t>
  </si>
  <si>
    <t xml:space="preserve">Invoice is on hold or in dispute</t>
  </si>
  <si>
    <t xml:space="preserve">[your hold procedure]</t>
  </si>
  <si>
    <t xml:space="preserve">Open credit memo for this vendor</t>
  </si>
  <si>
    <t xml:space="preserve">[your credit memo procedure]</t>
  </si>
  <si>
    <t xml:space="preserve">Amount over [$ threshold]</t>
  </si>
  <si>
    <t xml:space="preserve">[extra approval]</t>
  </si>
  <si>
    <t xml:space="preserve">Payment returned or rejected by the bank</t>
  </si>
  <si>
    <t xml:space="preserve">[your returns procedure]</t>
  </si>
  <si>
    <t xml:space="preserve">Vendor asks for an urgent, off-cycle payment</t>
  </si>
  <si>
    <t xml:space="preserve">[your off-cycle procedure]</t>
  </si>
  <si>
    <t xml:space="preserve">Add a row every time you hit a situation the cards don't cover, rather than handling it from memory. Rare steps fail because you forget they exist, not because you don't know how to do them.</t>
  </si>
  <si>
    <t xml:space="preserve">STANDING RULES</t>
  </si>
  <si>
    <t xml:space="preserve">Status lives in the system, not in your head</t>
  </si>
  <si>
    <t xml:space="preserve">Every invoice sits in exactly one named state at all times. If you get pulled away mid-item, park it in the state it is actually in before you look at anything else. When you come back you never ask "where was I" — you ask the queue.</t>
  </si>
  <si>
    <t xml:space="preserve">Never re-send a payment file from memory</t>
  </si>
  <si>
    <t xml:space="preserve">If you can't tell whether a run went out, the bank's confirmation is the only source of truth. Check bank activity before you touch anything. This is the most expensive interruption failure in the job.</t>
  </si>
  <si>
    <t xml:space="preserve">Once a month, or after any miss: which card should have caught it? If the step was missing, add it. If it was there and got skipped, ask whether the card is too long, or whether that step belongs in the never-skip list. A checklist you've stopped running is worse than none, because you think you're covered.</t>
  </si>
  <si>
    <t xml:space="preserve">CARD A   ·   INVOICE REVIEW GATE</t>
  </si>
  <si>
    <t xml:space="preserve">DO-CONFIRM   ·   PER INVOICE</t>
  </si>
  <si>
    <t xml:space="preserve">Review the invoice your normal way. Then stop at the same moment every time and confirm these. Because this card runs dozens of times a day it is deliberately short — resist adding to it.</t>
  </si>
  <si>
    <t xml:space="preserve">Your pause point:</t>
  </si>
  <si>
    <t xml:space="preserve">[e.g. before you change status to Approved for Payment]</t>
  </si>
  <si>
    <t xml:space="preserve">✓</t>
  </si>
  <si>
    <t xml:space="preserve">STEP</t>
  </si>
  <si>
    <t xml:space="preserve">YOUR DETAIL — edit the yellow cells</t>
  </si>
  <si>
    <t xml:space="preserve">Duplicate check. Same vendor + same invoice number. Then also same vendor + same amount + near date — duplicates slip through when the invoice number is keyed differently.</t>
  </si>
  <si>
    <t xml:space="preserve">[Where you check]</t>
  </si>
  <si>
    <t xml:space="preserve">NEVER SKIP</t>
  </si>
  <si>
    <t xml:space="preserve">Approval is present, and the approver has authority for this amount.</t>
  </si>
  <si>
    <t xml:space="preserve">[Your approval limits]</t>
  </si>
  <si>
    <t xml:space="preserve">Not on hold, and not in dispute.</t>
  </si>
  <si>
    <t xml:space="preserve">Open credit memos for this vendor checked, and applied or netted.</t>
  </si>
  <si>
    <t xml:space="preserve">Terms and due date match the vendor master, not just what the invoice says. Note any early-pay discount and the date it expires.</t>
  </si>
  <si>
    <t xml:space="preserve">Remit-to on the invoice matches the vendor master. Any difference at all: stop and run Card E. Do not fix it inline.</t>
  </si>
  <si>
    <t xml:space="preserve">Difference → Card E</t>
  </si>
  <si>
    <t xml:space="preserve">Correct entity or company code.</t>
  </si>
  <si>
    <t xml:space="preserve">[If you have more than one]</t>
  </si>
  <si>
    <t xml:space="preserve">Set status to ready-to-schedule.</t>
  </si>
  <si>
    <t xml:space="preserve">[Your status name]</t>
  </si>
  <si>
    <t xml:space="preserve">[Add your own step — especially anything upstream gets wrong often enough that you catch it]</t>
  </si>
  <si>
    <t xml:space="preserve">CARD B   ·   RUN BUILD</t>
  </si>
  <si>
    <t xml:space="preserve">READ-DO   ·   PER RUN</t>
  </si>
  <si>
    <t xml:space="preserve">Read each step, then do it. This card ends by recording the batch total and item count that Card C reconciles against.</t>
  </si>
  <si>
    <t xml:space="preserve">Run cadence:</t>
  </si>
  <si>
    <t xml:space="preserve">[e.g. every Tuesday and Friday]</t>
  </si>
  <si>
    <t xml:space="preserve">RECORD BEFORE YOU RELEASE — Card C checks against these</t>
  </si>
  <si>
    <t xml:space="preserve">Run date</t>
  </si>
  <si>
    <t xml:space="preserve">[dd/mm/yyyy]</t>
  </si>
  <si>
    <t xml:space="preserve">Batch total</t>
  </si>
  <si>
    <t xml:space="preserve">Item count</t>
  </si>
  <si>
    <t xml:space="preserve">Pull the payment proposal.</t>
  </si>
  <si>
    <t xml:space="preserve">[Your date range]</t>
  </si>
  <si>
    <t xml:space="preserve">Pull-forward check: anything due before the NEXT run after this one has to go in this run. Compare due dates to the next run date, not to today.</t>
  </si>
  <si>
    <t xml:space="preserve">[Next run date]</t>
  </si>
  <si>
    <t xml:space="preserve">Discount check: any early-pay discount expiring before the next run. A lost discount is a silent error — nobody reports it.</t>
  </si>
  <si>
    <t xml:space="preserve">Exclusions: remove anything on hold, in dispute, pending vendor verification, or missing approval.</t>
  </si>
  <si>
    <t xml:space="preserve">Credit memos applied, so vendors net correctly instead of paying gross.</t>
  </si>
  <si>
    <t xml:space="preserve">Payment method per vendor is correct. Watch for any vendor with more than one active method — that is how one invoice goes out twice by two channels.</t>
  </si>
  <si>
    <t xml:space="preserve">[Methods you use]</t>
  </si>
  <si>
    <t xml:space="preserve">Funding or cash check.</t>
  </si>
  <si>
    <t xml:space="preserve">[Confirm funds, or hand a total to Treasury?]</t>
  </si>
  <si>
    <t xml:space="preserve">Batch total and item count recorded in the box above, and the run parked as built-not-released.</t>
  </si>
  <si>
    <t xml:space="preserve">CARD C   ·   RELEASE</t>
  </si>
  <si>
    <t xml:space="preserve">The shortest and strictest card. Do not do this one from memory, and do not do it while doing anything else.</t>
  </si>
  <si>
    <t xml:space="preserve">THE RE-TRANSMIT RULE</t>
  </si>
  <si>
    <t xml:space="preserve">If you were interrupted and you are not certain the file went out, DO NOT RE-SEND. Open the bank portal and look at today's activity. The bank's record is the only source of truth — your memory of the last ten minutes is not, and re-sending duplicates every payment in the run.</t>
  </si>
  <si>
    <t xml:space="preserve">RECONCILE TO CARD B</t>
  </si>
  <si>
    <t xml:space="preserve">Recorded in Card B</t>
  </si>
  <si>
    <t xml:space="preserve">On screen now</t>
  </si>
  <si>
    <t xml:space="preserve">Batch total on screen matches the figure recorded in Card B. If it does not match, stop and find out why — never adjust the recorded figure to match the screen.</t>
  </si>
  <si>
    <t xml:space="preserve">Item count on screen matches the figure recorded in Card B.</t>
  </si>
  <si>
    <t xml:space="preserve">Funding account is correct.</t>
  </si>
  <si>
    <t xml:space="preserve">[Correct account]</t>
  </si>
  <si>
    <t xml:space="preserve">Effective or value date is correct.</t>
  </si>
  <si>
    <t xml:space="preserve">Second review and release.</t>
  </si>
  <si>
    <t xml:space="preserve">[Who? If nobody, see note below]</t>
  </si>
  <si>
    <t xml:space="preserve">Transmit.</t>
  </si>
  <si>
    <t xml:space="preserve">Bank confirmation captured — reference, timestamp, screenshot — and recorded below.</t>
  </si>
  <si>
    <t xml:space="preserve">[Where you save it]</t>
  </si>
  <si>
    <t xml:space="preserve">Positive pay file uploaded.</t>
  </si>
  <si>
    <t xml:space="preserve">[If applicable]</t>
  </si>
  <si>
    <t xml:space="preserve">Check stock sequence recorded.</t>
  </si>
  <si>
    <t xml:space="preserve">RECORD AT RELEASE</t>
  </si>
  <si>
    <t xml:space="preserve">Confirmation ref</t>
  </si>
  <si>
    <t xml:space="preserve">Time sent</t>
  </si>
  <si>
    <t xml:space="preserve">Check stock from / to</t>
  </si>
  <si>
    <t xml:space="preserve">IF YOU ARE IN SOLE CONTROL</t>
  </si>
  <si>
    <t xml:space="preserve">Building and releasing runs with nobody else in the loop is a standard segregation-of-duties gap. It is worth raising with your manager, and it is not yours to solve alone. Until then, put real time between the two steps: build the run, do something else, come back to release it. The gap is a partial substitute for a second pair of eyes.</t>
  </si>
  <si>
    <t xml:space="preserve">CARD D   ·   POST-RUN</t>
  </si>
  <si>
    <t xml:space="preserve">READ-DO   ·   SAME DAY AS THE RUN</t>
  </si>
  <si>
    <t xml:space="preserve">The quiet failures nobody notices for a month. Nothing here can double-send money, so it is safe to be interrupted — just finish it before end of day.</t>
  </si>
  <si>
    <t xml:space="preserve">Confirmation filed.</t>
  </si>
  <si>
    <t xml:space="preserve">[Where]</t>
  </si>
  <si>
    <t xml:space="preserve">Payment statuses updated. Nothing left sitting in released limbo.</t>
  </si>
  <si>
    <t xml:space="preserve">[Your system]</t>
  </si>
  <si>
    <t xml:space="preserve">Remittance advice sent to vendors.</t>
  </si>
  <si>
    <t xml:space="preserve">[Automatic or manual — how?]</t>
  </si>
  <si>
    <t xml:space="preserve">Run reconciled to the bank.</t>
  </si>
  <si>
    <t xml:space="preserve">[Same day or next day?]</t>
  </si>
  <si>
    <t xml:space="preserve">Rejects and returns worked the same day — not when you get to it. A returned ACH that sits is a vendor who thinks they were paid and wasn't.</t>
  </si>
  <si>
    <t xml:space="preserve">[Your returns procedure]</t>
  </si>
  <si>
    <t xml:space="preserve">Re-check the hold pile: anything excluded in Card B is still correctly parked and hasn't quietly aged past due.</t>
  </si>
  <si>
    <t xml:space="preserve">[How you re-check it]</t>
  </si>
  <si>
    <t xml:space="preserve">Run logged on the Run log tab.</t>
  </si>
  <si>
    <t xml:space="preserve">[Add anything your close needs from you at run time rather than at month end]</t>
  </si>
  <si>
    <t xml:space="preserve">CARD E   ·   VENDOR BANK OR REMIT-TO CHANGE</t>
  </si>
  <si>
    <t xml:space="preserve">READ-DO   ·   TRIGGERED, NEVER SCHEDULED</t>
  </si>
  <si>
    <t xml:space="preserve">Trigger: any new vendor, or any change to remit-to address, bank account or routing number — however it arrives, and however routine it looks.</t>
  </si>
  <si>
    <t xml:space="preserve">WHY THIS CARD IS RIGID</t>
  </si>
  <si>
    <t xml:space="preserve">This is the highest-consequence, lowest-frequency thing you touch. Business email compromise enters accounts payable almost entirely at this step, and it works precisely because the request arrives when you are busy and looks completely normal. Urgency in the request is a warning sign, not a reason to hurry.</t>
  </si>
  <si>
    <t xml:space="preserve">Hold all payments to this vendor until this card is finished.</t>
  </si>
  <si>
    <t xml:space="preserve">Verify by phone, using a number already on file — in the vendor master or on a prior invoice. NEVER a number from the email, attachment, or signature block requesting the change.</t>
  </si>
  <si>
    <t xml:space="preserve">Speak to a known contact, or someone whose identity you can confirm independently.</t>
  </si>
  <si>
    <t xml:space="preserve">Read the new digits back to them. Don't ask "did you send a change?" — ask them to state the account.</t>
  </si>
  <si>
    <t xml:space="preserve">Second person confirms the change before it is entered.</t>
  </si>
  <si>
    <t xml:space="preserve">[Who]</t>
  </si>
  <si>
    <t xml:space="preserve">Verification documented below.</t>
  </si>
  <si>
    <t xml:space="preserve">Change entered.</t>
  </si>
  <si>
    <t xml:space="preserve">Vendor's next payment held one cycle, then released.</t>
  </si>
  <si>
    <t xml:space="preserve">[Or your policy]</t>
  </si>
  <si>
    <t xml:space="preserve">Documentation filed.</t>
  </si>
  <si>
    <t xml:space="preserve">VERIFICATION RECORD</t>
  </si>
  <si>
    <t xml:space="preserve">Vendor</t>
  </si>
  <si>
    <t xml:space="preserve">Number called (and where it came from)</t>
  </si>
  <si>
    <t xml:space="preserve">Spoke with</t>
  </si>
  <si>
    <t xml:space="preserve">Date and time of call</t>
  </si>
  <si>
    <t xml:space="preserve">Second reviewer</t>
  </si>
  <si>
    <t xml:space="preserve">ESCALATE IMMEDIATELY IF</t>
  </si>
  <si>
    <t xml:space="preserve">• The number on file doesn't work, or goes somewhere unexpected   • The contact is new, or unknown to you   • The request is urgent, or pushes back on being verified   • The email domain differs from the vendor's usual one, even by a character   • The change arrives right before a large scheduled payment
Escalate to [who]. Do not process. It is always acceptable to be slow here.</t>
  </si>
  <si>
    <t xml:space="preserve">Released by</t>
  </si>
  <si>
    <t xml:space="preserve">Rejects worked</t>
  </si>
  <si>
    <t xml:space="preserve">Notes</t>
  </si>
  <si>
    <t xml:space="preserve">2026-09-04</t>
  </si>
  <si>
    <t xml:space="preserve">BANK-REF-000000</t>
  </si>
  <si>
    <t xml:space="preserve">14:20</t>
  </si>
  <si>
    <t xml:space="preserve">[your name]</t>
  </si>
  <si>
    <t xml:space="preserve">Yes</t>
  </si>
  <si>
    <t xml:space="preserve">EXAMPLE ROW — delete it. One row per run; fills in from Card B and Card C.</t>
  </si>
  <si>
    <t xml:space="preserve">Runs logged:</t>
  </si>
  <si>
    <t xml:space="preserve">Total paid:</t>
  </si>
</sst>
</file>

<file path=xl/styles.xml><?xml version="1.0" encoding="utf-8"?>
<styleSheet xmlns="http://schemas.openxmlformats.org/spreadsheetml/2006/main">
  <numFmts count="4">
    <numFmt numFmtId="164" formatCode="General"/>
    <numFmt numFmtId="165" formatCode="General"/>
    <numFmt numFmtId="166" formatCode="\$#,##0.00"/>
    <numFmt numFmtId="167" formatCode="#,##0"/>
  </numFmts>
  <fonts count="3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8"/>
      <color rgb="FF0E4F52"/>
      <name val="Arial"/>
      <family val="0"/>
      <charset val="1"/>
    </font>
    <font>
      <sz val="10"/>
      <color rgb="FF141D1B"/>
      <name val="Arial"/>
      <family val="0"/>
      <charset val="1"/>
    </font>
    <font>
      <b val="true"/>
      <sz val="9"/>
      <color rgb="FF6B7B77"/>
      <name val="Arial"/>
      <family val="0"/>
      <charset val="1"/>
    </font>
    <font>
      <b val="true"/>
      <sz val="11"/>
      <color rgb="FF0E4F52"/>
      <name val="Arial"/>
      <family val="0"/>
      <charset val="1"/>
    </font>
    <font>
      <b val="true"/>
      <sz val="11"/>
      <color rgb="FF141D1B"/>
      <name val="Arial"/>
      <family val="0"/>
      <charset val="1"/>
    </font>
    <font>
      <sz val="9"/>
      <color rgb="FF6B7B77"/>
      <name val="Arial"/>
      <family val="0"/>
      <charset val="1"/>
    </font>
    <font>
      <sz val="10"/>
      <color rgb="FF2C6349"/>
      <name val="Arial"/>
      <family val="0"/>
      <charset val="1"/>
    </font>
    <font>
      <b val="true"/>
      <sz val="10"/>
      <color rgb="FF0E4F52"/>
      <name val="Arial"/>
      <family val="0"/>
      <charset val="1"/>
    </font>
    <font>
      <b val="true"/>
      <i val="true"/>
      <sz val="9"/>
      <color rgb="FF8F5405"/>
      <name val="Arial"/>
      <family val="0"/>
      <charset val="1"/>
    </font>
    <font>
      <b val="true"/>
      <sz val="9"/>
      <color rgb="FF8F5405"/>
      <name val="Arial"/>
      <family val="0"/>
      <charset val="1"/>
    </font>
    <font>
      <sz val="10.5"/>
      <color rgb="FF141D1B"/>
      <name val="Arial"/>
      <family val="0"/>
      <charset val="1"/>
    </font>
    <font>
      <b val="true"/>
      <sz val="10"/>
      <color rgb="FF8E2226"/>
      <name val="Arial"/>
      <family val="0"/>
      <charset val="1"/>
    </font>
    <font>
      <sz val="10"/>
      <color rgb="FF6B7B77"/>
      <name val="Arial"/>
      <family val="0"/>
      <charset val="1"/>
    </font>
    <font>
      <b val="true"/>
      <sz val="10.5"/>
      <color rgb="FF0E4F52"/>
      <name val="Arial"/>
      <family val="0"/>
      <charset val="1"/>
    </font>
    <font>
      <sz val="9.5"/>
      <color rgb="FF141D1B"/>
      <name val="Arial"/>
      <family val="0"/>
      <charset val="1"/>
    </font>
    <font>
      <b val="true"/>
      <sz val="10.5"/>
      <color rgb="FF8E2226"/>
      <name val="Arial"/>
      <family val="0"/>
      <charset val="1"/>
    </font>
    <font>
      <i val="true"/>
      <sz val="9"/>
      <color rgb="FF6B7B77"/>
      <name val="Arial"/>
      <family val="0"/>
      <charset val="1"/>
    </font>
    <font>
      <b val="true"/>
      <sz val="13"/>
      <color rgb="FFFFFFFF"/>
      <name val="Arial"/>
      <family val="0"/>
      <charset val="1"/>
    </font>
    <font>
      <b val="true"/>
      <sz val="10"/>
      <color rgb="FF141D1B"/>
      <name val="Arial"/>
      <family val="0"/>
      <charset val="1"/>
    </font>
    <font>
      <b val="true"/>
      <sz val="12"/>
      <color rgb="FF2C6349"/>
      <name val="Arial"/>
      <family val="0"/>
      <charset val="1"/>
    </font>
    <font>
      <b val="true"/>
      <sz val="8"/>
      <color rgb="FF8F5405"/>
      <name val="Arial"/>
      <family val="0"/>
      <charset val="1"/>
    </font>
    <font>
      <sz val="9"/>
      <color rgb="FF141D1B"/>
      <name val="Arial"/>
      <family val="0"/>
      <charset val="1"/>
    </font>
    <font>
      <b val="true"/>
      <sz val="9"/>
      <color rgb="FF0E4F52"/>
      <name val="Arial"/>
      <family val="0"/>
      <charset val="1"/>
    </font>
    <font>
      <sz val="10"/>
      <color rgb="FF8E2226"/>
      <name val="Arial"/>
      <family val="0"/>
      <charset val="1"/>
    </font>
    <font>
      <b val="true"/>
      <sz val="9"/>
      <color rgb="FF8E2226"/>
      <name val="Arial"/>
      <family val="0"/>
      <charset val="1"/>
    </font>
    <font>
      <sz val="9.5"/>
      <color rgb="FF8E2226"/>
      <name val="Arial"/>
      <family val="0"/>
      <charset val="1"/>
    </font>
    <font>
      <b val="true"/>
      <sz val="9"/>
      <color rgb="FFFFFFFF"/>
      <name val="Arial"/>
      <family val="0"/>
      <charset val="1"/>
    </font>
    <font>
      <i val="true"/>
      <sz val="10"/>
      <color rgb="FF6B7B77"/>
      <name val="Arial"/>
      <family val="0"/>
      <charset val="1"/>
    </font>
  </fonts>
  <fills count="8">
    <fill>
      <patternFill patternType="none"/>
    </fill>
    <fill>
      <patternFill patternType="gray125"/>
    </fill>
    <fill>
      <patternFill patternType="solid">
        <fgColor rgb="FF0E4F52"/>
        <bgColor rgb="FF2C6349"/>
      </patternFill>
    </fill>
    <fill>
      <patternFill patternType="solid">
        <fgColor rgb="FFDCEAE9"/>
        <bgColor rgb="FFDFEDE5"/>
      </patternFill>
    </fill>
    <fill>
      <patternFill patternType="solid">
        <fgColor rgb="FFFFF7DC"/>
        <bgColor rgb="FFF6EBDA"/>
      </patternFill>
    </fill>
    <fill>
      <patternFill patternType="solid">
        <fgColor rgb="FFF6EBDA"/>
        <bgColor rgb="FFF7E5E4"/>
      </patternFill>
    </fill>
    <fill>
      <patternFill patternType="solid">
        <fgColor rgb="FFF7E5E4"/>
        <bgColor rgb="FFF6EBDA"/>
      </patternFill>
    </fill>
    <fill>
      <patternFill patternType="solid">
        <fgColor rgb="FFFFFFFF"/>
        <bgColor rgb="FFFFF7DC"/>
      </patternFill>
    </fill>
  </fills>
  <borders count="4">
    <border diagonalUp="false" diagonalDown="false">
      <left/>
      <right/>
      <top/>
      <bottom/>
      <diagonal/>
    </border>
    <border diagonalUp="false" diagonalDown="false">
      <left/>
      <right/>
      <top/>
      <bottom style="thin">
        <color rgb="FFD3DBD8"/>
      </bottom>
      <diagonal/>
    </border>
    <border diagonalUp="false" diagonalDown="false">
      <left style="thin">
        <color rgb="FFD3DBD8"/>
      </left>
      <right style="thin">
        <color rgb="FFD3DBD8"/>
      </right>
      <top style="thin">
        <color rgb="FFD3DBD8"/>
      </top>
      <bottom style="thin">
        <color rgb="FFD3DBD8"/>
      </bottom>
      <diagonal/>
    </border>
    <border diagonalUp="false" diagonalDown="false">
      <left style="thin">
        <color rgb="FFD3DBD8"/>
      </left>
      <right/>
      <top style="thin">
        <color rgb="FFD3DBD8"/>
      </top>
      <bottom style="thin">
        <color rgb="FFD3DB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1"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general" vertical="center" textRotation="0" wrapText="false" indent="1"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general" vertical="center" textRotation="0" wrapText="false" indent="1"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1" shrinkToFit="false"/>
      <protection locked="true" hidden="false"/>
    </xf>
    <xf numFmtId="164" fontId="16" fillId="0" borderId="1" xfId="0" applyFont="true" applyBorder="true" applyAlignment="true" applyProtection="false">
      <alignment horizontal="right" vertical="center" textRotation="0" wrapText="false" indent="0" shrinkToFit="false"/>
      <protection locked="true" hidden="false"/>
    </xf>
    <xf numFmtId="164" fontId="17" fillId="4" borderId="1" xfId="0" applyFont="true" applyBorder="true" applyAlignment="true" applyProtection="false">
      <alignment horizontal="right" vertical="center" textRotation="0" wrapText="false" indent="0" shrinkToFit="false"/>
      <protection locked="true" hidden="false"/>
    </xf>
    <xf numFmtId="164" fontId="18" fillId="0" borderId="0" xfId="0" applyFont="true" applyBorder="true" applyAlignment="true" applyProtection="false">
      <alignment horizontal="general" vertical="center" textRotation="0" wrapText="false" indent="1" shrinkToFit="false"/>
      <protection locked="true" hidden="false"/>
    </xf>
    <xf numFmtId="164" fontId="19" fillId="0" borderId="0" xfId="0" applyFont="true" applyBorder="true" applyAlignment="true" applyProtection="false">
      <alignment horizontal="general" vertical="top" textRotation="0" wrapText="true" indent="1" shrinkToFit="false"/>
      <protection locked="true" hidden="false"/>
    </xf>
    <xf numFmtId="164" fontId="20" fillId="0" borderId="0" xfId="0" applyFont="true" applyBorder="true" applyAlignment="true" applyProtection="false">
      <alignment horizontal="general" vertical="center" textRotation="0" wrapText="false" indent="1"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2" borderId="0" xfId="0" applyFont="true" applyBorder="true" applyAlignment="true" applyProtection="false">
      <alignment horizontal="general" vertical="center" textRotation="0" wrapText="false" indent="1"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6" fillId="4" borderId="2"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25" fillId="5"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general" vertical="center" textRotation="0" wrapText="true" indent="0" shrinkToFit="false"/>
      <protection locked="true" hidden="false"/>
    </xf>
    <xf numFmtId="164" fontId="27" fillId="3" borderId="2" xfId="0" applyFont="true" applyBorder="true" applyAlignment="true" applyProtection="false">
      <alignment horizontal="general" vertical="center" textRotation="0" wrapText="false" indent="1"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general" vertical="center" textRotation="0" wrapText="false" indent="1" shrinkToFit="false"/>
      <protection locked="true" hidden="false"/>
    </xf>
    <xf numFmtId="164" fontId="17" fillId="4" borderId="2" xfId="0" applyFont="true" applyBorder="true" applyAlignment="true" applyProtection="false">
      <alignment horizontal="general" vertical="center" textRotation="0" wrapText="true" indent="0" shrinkToFit="false"/>
      <protection locked="true" hidden="false"/>
    </xf>
    <xf numFmtId="164" fontId="16" fillId="6" borderId="2" xfId="0" applyFont="true" applyBorder="true" applyAlignment="true" applyProtection="false">
      <alignment horizontal="general" vertical="center" textRotation="0" wrapText="false" indent="1" shrinkToFit="false"/>
      <protection locked="true" hidden="false"/>
    </xf>
    <xf numFmtId="164" fontId="28" fillId="6" borderId="2" xfId="0" applyFont="true" applyBorder="true" applyAlignment="true" applyProtection="false">
      <alignment horizontal="general" vertical="top" textRotation="0" wrapText="true" indent="1" shrinkToFit="false"/>
      <protection locked="true" hidden="false"/>
    </xf>
    <xf numFmtId="164" fontId="23" fillId="0" borderId="0" xfId="0" applyFont="true" applyBorder="false" applyAlignment="true" applyProtection="false">
      <alignment horizontal="general" vertical="center" textRotation="0" wrapText="false" indent="1" shrinkToFit="false"/>
      <protection locked="true" hidden="false"/>
    </xf>
    <xf numFmtId="165" fontId="11" fillId="0"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general" vertical="center" textRotation="0" wrapText="false" indent="1" shrinkToFit="false"/>
      <protection locked="true" hidden="false"/>
    </xf>
    <xf numFmtId="164" fontId="19" fillId="7" borderId="2" xfId="0" applyFont="true" applyBorder="true" applyAlignment="true" applyProtection="false">
      <alignment horizontal="general" vertical="top" textRotation="0" wrapText="true" indent="1" shrinkToFit="false"/>
      <protection locked="true" hidden="false"/>
    </xf>
    <xf numFmtId="164" fontId="29" fillId="6" borderId="2" xfId="0" applyFont="true" applyBorder="true" applyAlignment="true" applyProtection="false">
      <alignment horizontal="general" vertical="center" textRotation="0" wrapText="false" indent="1" shrinkToFit="false"/>
      <protection locked="true" hidden="false"/>
    </xf>
    <xf numFmtId="164" fontId="30" fillId="6" borderId="2" xfId="0" applyFont="true" applyBorder="true" applyAlignment="true" applyProtection="false">
      <alignment horizontal="general" vertical="top" textRotation="0" wrapText="true" indent="1" shrinkToFit="false"/>
      <protection locked="true" hidden="false"/>
    </xf>
    <xf numFmtId="164" fontId="31" fillId="2" borderId="0" xfId="0" applyFont="true" applyBorder="fals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general" vertical="center" textRotation="0" wrapText="false" indent="0" shrinkToFit="false"/>
      <protection locked="true" hidden="false"/>
    </xf>
    <xf numFmtId="166" fontId="32" fillId="0" borderId="1" xfId="0" applyFont="true" applyBorder="true" applyAlignment="true" applyProtection="false">
      <alignment horizontal="general" vertical="center" textRotation="0" wrapText="false" indent="0" shrinkToFit="false"/>
      <protection locked="true" hidden="false"/>
    </xf>
    <xf numFmtId="167" fontId="32" fillId="0" borderId="1" xfId="0" applyFont="true" applyBorder="true" applyAlignment="true" applyProtection="false">
      <alignment horizontal="general" vertical="center" textRotation="0" wrapText="false" indent="0" shrinkToFit="false"/>
      <protection locked="true" hidden="false"/>
    </xf>
    <xf numFmtId="164" fontId="32"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6" fontId="6" fillId="0" borderId="1" xfId="0" applyFont="true" applyBorder="true" applyAlignment="true" applyProtection="false">
      <alignment horizontal="general" vertical="center" textRotation="0" wrapText="false" indent="0" shrinkToFit="false"/>
      <protection locked="true" hidden="false"/>
    </xf>
    <xf numFmtId="167"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color rgb="FF6B7B77"/>
        <sz val="10"/>
      </font>
    </dxf>
    <dxf>
      <font>
        <name val="Arial"/>
        <charset val="1"/>
        <family val="0"/>
        <b val="1"/>
        <color rgb="FF2C6349"/>
        <sz val="11"/>
      </font>
      <fill>
        <patternFill>
          <bgColor rgb="FFDFEDE5"/>
        </patternFill>
      </fill>
    </dxf>
    <dxf>
      <font>
        <name val="Arial"/>
        <charset val="1"/>
        <family val="0"/>
        <b val="1"/>
        <color rgb="FF8E2226"/>
        <sz val="11"/>
      </font>
      <fill>
        <patternFill>
          <bgColor rgb="FFF7E5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F5405"/>
      <rgbColor rgb="FF800080"/>
      <rgbColor rgb="FF2C6349"/>
      <rgbColor rgb="FFC0C0C0"/>
      <rgbColor rgb="FF6B7B77"/>
      <rgbColor rgb="FF9999FF"/>
      <rgbColor rgb="FF993366"/>
      <rgbColor rgb="FFFFF7DC"/>
      <rgbColor rgb="FFDCEAE9"/>
      <rgbColor rgb="FF660066"/>
      <rgbColor rgb="FFFF8080"/>
      <rgbColor rgb="FF0066CC"/>
      <rgbColor rgb="FFD3DBD8"/>
      <rgbColor rgb="FF000080"/>
      <rgbColor rgb="FFFF00FF"/>
      <rgbColor rgb="FFFFFF00"/>
      <rgbColor rgb="FF00FFFF"/>
      <rgbColor rgb="FF800080"/>
      <rgbColor rgb="FF800000"/>
      <rgbColor rgb="FF008080"/>
      <rgbColor rgb="FF0000FF"/>
      <rgbColor rgb="FF00CCFF"/>
      <rgbColor rgb="FFCCFFFF"/>
      <rgbColor rgb="FFDFEDE5"/>
      <rgbColor rgb="FFF6EBDA"/>
      <rgbColor rgb="FF99CCFF"/>
      <rgbColor rgb="FFFF99CC"/>
      <rgbColor rgb="FFCC99FF"/>
      <rgbColor rgb="FFF7E5E4"/>
      <rgbColor rgb="FF3366FF"/>
      <rgbColor rgb="FF33CCCC"/>
      <rgbColor rgb="FF99CC00"/>
      <rgbColor rgb="FFFFCC00"/>
      <rgbColor rgb="FFFF9900"/>
      <rgbColor rgb="FFFF6600"/>
      <rgbColor rgb="FF666699"/>
      <rgbColor rgb="FF969696"/>
      <rgbColor rgb="FF0E4F52"/>
      <rgbColor rgb="FF339966"/>
      <rgbColor rgb="FF141D1B"/>
      <rgbColor rgb="FF333300"/>
      <rgbColor rgb="FF8E222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AP-Run-Cards.xlsx" TargetMode="External"/><Relationship Id="rId2" Type="http://schemas.openxmlformats.org/officeDocument/2006/relationships/hyperlink" Target="AP-Run-Cards.xlsx" TargetMode="External"/><Relationship Id="rId3" Type="http://schemas.openxmlformats.org/officeDocument/2006/relationships/hyperlink" Target="AP-Run-Cards.xlsx" TargetMode="External"/><Relationship Id="rId4" Type="http://schemas.openxmlformats.org/officeDocument/2006/relationships/hyperlink" Target="AP-Run-Cards.xlsx" TargetMode="External"/><Relationship Id="rId5" Type="http://schemas.openxmlformats.org/officeDocument/2006/relationships/hyperlink" Target="AP-Run-Cards.xlsx" TargetMode="External"/><Relationship Id="rId6" Type="http://schemas.openxmlformats.org/officeDocument/2006/relationships/hyperlink" Target="AP-Run-Cards.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30"/>
    <col collapsed="false" customWidth="true" hidden="false" outlineLevel="0" max="4" min="4" style="0" width="22"/>
    <col collapsed="false" customWidth="true" hidden="false" outlineLevel="0" max="5" min="5" style="0" width="14"/>
  </cols>
  <sheetData>
    <row r="1" customFormat="false" ht="37.5" hidden="false" customHeight="true" outlineLevel="0" collapsed="false">
      <c r="A1" s="1" t="s">
        <v>0</v>
      </c>
      <c r="B1" s="1"/>
      <c r="C1" s="1"/>
      <c r="D1" s="1"/>
      <c r="E1" s="1"/>
    </row>
    <row r="2" customFormat="false" ht="18" hidden="false" customHeight="true" outlineLevel="0" collapsed="false">
      <c r="A2" s="2" t="s">
        <v>1</v>
      </c>
      <c r="B2" s="2"/>
      <c r="C2" s="2"/>
      <c r="D2" s="2"/>
      <c r="E2" s="2"/>
    </row>
    <row r="4" customFormat="false" ht="45.75" hidden="false" customHeight="true" outlineLevel="0" collapsed="false">
      <c r="A4" s="3" t="s">
        <v>2</v>
      </c>
      <c r="B4" s="3"/>
      <c r="C4" s="3"/>
      <c r="D4" s="3"/>
      <c r="E4" s="3"/>
    </row>
    <row r="6" customFormat="false" ht="21.75" hidden="false" customHeight="true" outlineLevel="0" collapsed="false">
      <c r="A6" s="4" t="s">
        <v>3</v>
      </c>
      <c r="B6" s="4"/>
      <c r="C6" s="4"/>
      <c r="D6" s="4"/>
      <c r="E6" s="4"/>
    </row>
    <row r="7" customFormat="false" ht="24" hidden="false" customHeight="true" outlineLevel="0" collapsed="false">
      <c r="A7" s="5" t="s">
        <v>4</v>
      </c>
      <c r="B7" s="6" t="s">
        <v>5</v>
      </c>
      <c r="C7" s="7" t="s">
        <v>6</v>
      </c>
      <c r="D7" s="8" t="str">
        <f aca="false">COUNTIF('A Review'!$A8:$A16,"✓")&amp;" of "&amp;(9-COUNTIF('A Review'!$A8:$A16,"—"))&amp;" done"</f>
        <v>0 of 9 done</v>
      </c>
      <c r="E7" s="9" t="s">
        <v>7</v>
      </c>
    </row>
    <row r="8" customFormat="false" ht="24" hidden="false" customHeight="true" outlineLevel="0" collapsed="false">
      <c r="A8" s="5" t="s">
        <v>8</v>
      </c>
      <c r="B8" s="6" t="s">
        <v>9</v>
      </c>
      <c r="C8" s="7" t="s">
        <v>10</v>
      </c>
      <c r="D8" s="8" t="str">
        <f aca="false">COUNTIF('B Run build'!$A13:$A20,"✓")&amp;" of "&amp;(8-COUNTIF('B Run build'!$A13:$A20,"—"))&amp;" done"</f>
        <v>0 of 8 done</v>
      </c>
      <c r="E8" s="9" t="s">
        <v>7</v>
      </c>
    </row>
    <row r="9" customFormat="false" ht="24" hidden="false" customHeight="true" outlineLevel="0" collapsed="false">
      <c r="A9" s="5" t="s">
        <v>11</v>
      </c>
      <c r="B9" s="6" t="s">
        <v>12</v>
      </c>
      <c r="C9" s="7" t="s">
        <v>10</v>
      </c>
      <c r="D9" s="8" t="str">
        <f aca="false">COUNTIF('C Release'!$A16:$A24,"✓")&amp;" of "&amp;(9-COUNTIF('C Release'!$A16:$A24,"—"))&amp;" done"</f>
        <v>0 of 9 done</v>
      </c>
      <c r="E9" s="9" t="s">
        <v>7</v>
      </c>
    </row>
    <row r="10" customFormat="false" ht="24" hidden="false" customHeight="true" outlineLevel="0" collapsed="false">
      <c r="A10" s="5" t="s">
        <v>13</v>
      </c>
      <c r="B10" s="6" t="s">
        <v>14</v>
      </c>
      <c r="C10" s="7" t="s">
        <v>15</v>
      </c>
      <c r="D10" s="8" t="str">
        <f aca="false">COUNTIF('D Post-run'!$A7:$A14,"✓")&amp;" of "&amp;(8-COUNTIF('D Post-run'!$A7:$A14,"—"))&amp;" done"</f>
        <v>0 of 8 done</v>
      </c>
      <c r="E10" s="9" t="s">
        <v>7</v>
      </c>
    </row>
    <row r="11" customFormat="false" ht="21.75" hidden="false" customHeight="true" outlineLevel="0" collapsed="false">
      <c r="B11" s="10" t="s">
        <v>16</v>
      </c>
      <c r="C11" s="10"/>
      <c r="D11" s="10"/>
      <c r="E11" s="10"/>
    </row>
    <row r="12" customFormat="false" ht="24" hidden="false" customHeight="true" outlineLevel="0" collapsed="false">
      <c r="A12" s="5" t="s">
        <v>17</v>
      </c>
      <c r="B12" s="6" t="s">
        <v>18</v>
      </c>
      <c r="C12" s="7" t="s">
        <v>19</v>
      </c>
      <c r="D12" s="8" t="str">
        <f aca="false">COUNTIF('E Bank change'!$A10:$A18,"✓")&amp;" of "&amp;(9-COUNTIF('E Bank change'!$A10:$A18,"—"))&amp;" done"</f>
        <v>0 of 9 done</v>
      </c>
      <c r="E12" s="9" t="s">
        <v>7</v>
      </c>
    </row>
    <row r="14" customFormat="false" ht="21.75" hidden="false" customHeight="true" outlineLevel="0" collapsed="false">
      <c r="A14" s="4" t="s">
        <v>20</v>
      </c>
      <c r="B14" s="4"/>
      <c r="C14" s="4"/>
      <c r="D14" s="4"/>
      <c r="E14" s="4"/>
    </row>
    <row r="15" customFormat="false" ht="21" hidden="false" customHeight="true" outlineLevel="0" collapsed="false">
      <c r="A15" s="11" t="s">
        <v>21</v>
      </c>
      <c r="B15" s="12" t="s">
        <v>22</v>
      </c>
      <c r="C15" s="12"/>
      <c r="D15" s="12"/>
      <c r="E15" s="12"/>
    </row>
    <row r="16" customFormat="false" ht="21" hidden="false" customHeight="true" outlineLevel="0" collapsed="false">
      <c r="A16" s="11" t="s">
        <v>21</v>
      </c>
      <c r="B16" s="12" t="s">
        <v>23</v>
      </c>
      <c r="C16" s="12"/>
      <c r="D16" s="12"/>
      <c r="E16" s="12"/>
    </row>
    <row r="17" customFormat="false" ht="21" hidden="false" customHeight="true" outlineLevel="0" collapsed="false">
      <c r="A17" s="11" t="s">
        <v>21</v>
      </c>
      <c r="B17" s="12" t="s">
        <v>24</v>
      </c>
      <c r="C17" s="12"/>
      <c r="D17" s="12"/>
      <c r="E17" s="12"/>
    </row>
    <row r="18" customFormat="false" ht="21" hidden="false" customHeight="true" outlineLevel="0" collapsed="false">
      <c r="A18" s="11" t="s">
        <v>21</v>
      </c>
      <c r="B18" s="12" t="s">
        <v>25</v>
      </c>
      <c r="C18" s="12"/>
      <c r="D18" s="12"/>
      <c r="E18" s="12"/>
    </row>
    <row r="19" customFormat="false" ht="21" hidden="false" customHeight="true" outlineLevel="0" collapsed="false">
      <c r="A19" s="11" t="s">
        <v>21</v>
      </c>
      <c r="B19" s="12" t="s">
        <v>26</v>
      </c>
      <c r="C19" s="12"/>
      <c r="D19" s="12"/>
      <c r="E19" s="12"/>
    </row>
    <row r="20" customFormat="false" ht="30" hidden="false" customHeight="true" outlineLevel="0" collapsed="false">
      <c r="B20" s="13" t="s">
        <v>27</v>
      </c>
      <c r="C20" s="13"/>
      <c r="D20" s="13"/>
      <c r="E20" s="13"/>
    </row>
    <row r="22" customFormat="false" ht="21.75" hidden="false" customHeight="true" outlineLevel="0" collapsed="false">
      <c r="A22" s="4" t="s">
        <v>28</v>
      </c>
      <c r="B22" s="4"/>
      <c r="C22" s="4"/>
      <c r="D22" s="4"/>
      <c r="E22" s="4"/>
    </row>
    <row r="23" customFormat="false" ht="21.75" hidden="false" customHeight="true" outlineLevel="0" collapsed="false">
      <c r="A23" s="14" t="s">
        <v>29</v>
      </c>
      <c r="B23" s="14"/>
      <c r="C23" s="14"/>
      <c r="D23" s="15" t="s">
        <v>30</v>
      </c>
      <c r="E23" s="15"/>
    </row>
    <row r="24" customFormat="false" ht="21.75" hidden="false" customHeight="true" outlineLevel="0" collapsed="false">
      <c r="A24" s="14" t="s">
        <v>31</v>
      </c>
      <c r="B24" s="14"/>
      <c r="C24" s="14"/>
      <c r="D24" s="16" t="s">
        <v>32</v>
      </c>
      <c r="E24" s="16"/>
    </row>
    <row r="25" customFormat="false" ht="21.75" hidden="false" customHeight="true" outlineLevel="0" collapsed="false">
      <c r="A25" s="14" t="s">
        <v>33</v>
      </c>
      <c r="B25" s="14"/>
      <c r="C25" s="14"/>
      <c r="D25" s="16" t="s">
        <v>34</v>
      </c>
      <c r="E25" s="16"/>
    </row>
    <row r="26" customFormat="false" ht="21.75" hidden="false" customHeight="true" outlineLevel="0" collapsed="false">
      <c r="A26" s="14" t="s">
        <v>35</v>
      </c>
      <c r="B26" s="14"/>
      <c r="C26" s="14"/>
      <c r="D26" s="16" t="s">
        <v>36</v>
      </c>
      <c r="E26" s="16"/>
    </row>
    <row r="27" customFormat="false" ht="21.75" hidden="false" customHeight="true" outlineLevel="0" collapsed="false">
      <c r="A27" s="14" t="s">
        <v>37</v>
      </c>
      <c r="B27" s="14"/>
      <c r="C27" s="14"/>
      <c r="D27" s="16" t="s">
        <v>38</v>
      </c>
      <c r="E27" s="16"/>
    </row>
    <row r="28" customFormat="false" ht="21.75" hidden="false" customHeight="true" outlineLevel="0" collapsed="false">
      <c r="A28" s="14" t="s">
        <v>39</v>
      </c>
      <c r="B28" s="14"/>
      <c r="C28" s="14"/>
      <c r="D28" s="16" t="s">
        <v>40</v>
      </c>
      <c r="E28" s="16"/>
    </row>
    <row r="29" customFormat="false" ht="30" hidden="false" customHeight="true" outlineLevel="0" collapsed="false">
      <c r="A29" s="13" t="s">
        <v>41</v>
      </c>
      <c r="B29" s="13"/>
      <c r="C29" s="13"/>
      <c r="D29" s="13"/>
      <c r="E29" s="13"/>
    </row>
    <row r="31" customFormat="false" ht="21.75" hidden="false" customHeight="true" outlineLevel="0" collapsed="false">
      <c r="A31" s="4" t="s">
        <v>42</v>
      </c>
      <c r="B31" s="4"/>
      <c r="C31" s="4"/>
      <c r="D31" s="4"/>
      <c r="E31" s="4"/>
    </row>
    <row r="32" customFormat="false" ht="19.5" hidden="false" customHeight="true" outlineLevel="0" collapsed="false">
      <c r="A32" s="17" t="s">
        <v>43</v>
      </c>
      <c r="B32" s="17"/>
      <c r="C32" s="17"/>
      <c r="D32" s="17"/>
      <c r="E32" s="17"/>
    </row>
    <row r="33" customFormat="false" ht="31.5" hidden="false" customHeight="true" outlineLevel="0" collapsed="false">
      <c r="A33" s="18" t="s">
        <v>44</v>
      </c>
      <c r="B33" s="18"/>
      <c r="C33" s="18"/>
      <c r="D33" s="18"/>
      <c r="E33" s="18"/>
    </row>
    <row r="35" customFormat="false" ht="19.5" hidden="false" customHeight="true" outlineLevel="0" collapsed="false">
      <c r="A35" s="19" t="s">
        <v>45</v>
      </c>
      <c r="B35" s="19"/>
      <c r="C35" s="19"/>
      <c r="D35" s="19"/>
      <c r="E35" s="19"/>
    </row>
    <row r="36" customFormat="false" ht="31.5" hidden="false" customHeight="true" outlineLevel="0" collapsed="false">
      <c r="A36" s="18" t="s">
        <v>46</v>
      </c>
      <c r="B36" s="18"/>
      <c r="C36" s="18"/>
      <c r="D36" s="18"/>
      <c r="E36" s="18"/>
    </row>
    <row r="38" customFormat="false" ht="43.5" hidden="false" customHeight="true" outlineLevel="0" collapsed="false">
      <c r="A38" s="20" t="s">
        <v>47</v>
      </c>
      <c r="B38" s="20"/>
      <c r="C38" s="20"/>
      <c r="D38" s="20"/>
      <c r="E38" s="20"/>
    </row>
  </sheetData>
  <mergeCells count="32">
    <mergeCell ref="A1:E1"/>
    <mergeCell ref="A2:E2"/>
    <mergeCell ref="A4:E4"/>
    <mergeCell ref="A6:E6"/>
    <mergeCell ref="B11:E11"/>
    <mergeCell ref="A14:E14"/>
    <mergeCell ref="B15:E15"/>
    <mergeCell ref="B16:E16"/>
    <mergeCell ref="B17:E17"/>
    <mergeCell ref="B18:E18"/>
    <mergeCell ref="B19:E19"/>
    <mergeCell ref="B20:E20"/>
    <mergeCell ref="A22:E22"/>
    <mergeCell ref="A23:C23"/>
    <mergeCell ref="D23:E23"/>
    <mergeCell ref="A24:C24"/>
    <mergeCell ref="D24:E24"/>
    <mergeCell ref="A25:C25"/>
    <mergeCell ref="D25:E25"/>
    <mergeCell ref="A26:C26"/>
    <mergeCell ref="D26:E26"/>
    <mergeCell ref="A27:C27"/>
    <mergeCell ref="D27:E27"/>
    <mergeCell ref="A28:C28"/>
    <mergeCell ref="D28:E28"/>
    <mergeCell ref="A29:E29"/>
    <mergeCell ref="A31:E31"/>
    <mergeCell ref="A32:E32"/>
    <mergeCell ref="A33:E33"/>
    <mergeCell ref="A35:E35"/>
    <mergeCell ref="A36:E36"/>
    <mergeCell ref="A38:E38"/>
  </mergeCells>
  <hyperlinks>
    <hyperlink ref="E7" r:id="rId1" location="'A%20Review'!A1" display="Open →"/>
    <hyperlink ref="E8" r:id="rId2" location="'B%20Run%20build'!A1" display="Open →"/>
    <hyperlink ref="E9" r:id="rId3" location="'C%20Release'!A1" display="Open →"/>
    <hyperlink ref="E10" r:id="rId4" location="'D%20Post-run'!A1" display="Open →"/>
    <hyperlink ref="E12" r:id="rId5" location="'E%20Bank%20change'!A1" display="Open →"/>
    <hyperlink ref="D23" r:id="rId6" location="'E%20Bank%20change'!A1" display="Card E"/>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5"/>
    <col collapsed="false" customWidth="true" hidden="false" outlineLevel="0" max="2" min="2" style="0" width="74"/>
    <col collapsed="false" customWidth="true" hidden="false" outlineLevel="0" max="3" min="3" style="0" width="30"/>
    <col collapsed="false" customWidth="true" hidden="false" outlineLevel="0" max="4" min="4" style="0" width="13"/>
  </cols>
  <sheetData>
    <row r="1" customFormat="false" ht="31.5" hidden="false" customHeight="true" outlineLevel="0" collapsed="false">
      <c r="A1" s="21" t="s">
        <v>48</v>
      </c>
      <c r="B1" s="21"/>
      <c r="C1" s="21"/>
      <c r="D1" s="21"/>
    </row>
    <row r="2" customFormat="false" ht="18" hidden="false" customHeight="true" outlineLevel="0" collapsed="false">
      <c r="A2" s="2" t="s">
        <v>49</v>
      </c>
      <c r="B2" s="2"/>
      <c r="C2" s="2"/>
      <c r="D2" s="2"/>
    </row>
    <row r="4" customFormat="false" ht="34.5" hidden="false" customHeight="true" outlineLevel="0" collapsed="false">
      <c r="A4" s="22" t="s">
        <v>50</v>
      </c>
      <c r="B4" s="22"/>
      <c r="C4" s="22"/>
      <c r="D4" s="22"/>
    </row>
    <row r="5" customFormat="false" ht="30" hidden="false" customHeight="true" outlineLevel="0" collapsed="false">
      <c r="A5" s="23"/>
      <c r="B5" s="24" t="s">
        <v>51</v>
      </c>
      <c r="C5" s="25" t="s">
        <v>52</v>
      </c>
    </row>
    <row r="7" customFormat="false" ht="19.5" hidden="false" customHeight="true" outlineLevel="0" collapsed="false">
      <c r="A7" s="26" t="s">
        <v>53</v>
      </c>
      <c r="B7" s="27" t="s">
        <v>54</v>
      </c>
      <c r="C7" s="27" t="s">
        <v>55</v>
      </c>
      <c r="D7" s="9" t="str">
        <f aca="false">COUNTIF(A8:A16,"✓")&amp;" of "&amp;(9-COUNTIF(A8:A16,"—"))</f>
        <v>0 of 9</v>
      </c>
    </row>
    <row r="8" customFormat="false" ht="49.5" hidden="false" customHeight="true" outlineLevel="0" collapsed="false">
      <c r="A8" s="28"/>
      <c r="B8" s="29" t="s">
        <v>56</v>
      </c>
      <c r="C8" s="30" t="s">
        <v>57</v>
      </c>
      <c r="D8" s="31" t="s">
        <v>58</v>
      </c>
    </row>
    <row r="9" customFormat="false" ht="20.25" hidden="false" customHeight="true" outlineLevel="0" collapsed="false">
      <c r="A9" s="28"/>
      <c r="B9" s="29" t="s">
        <v>59</v>
      </c>
      <c r="C9" s="30" t="s">
        <v>60</v>
      </c>
      <c r="D9" s="31" t="s">
        <v>58</v>
      </c>
    </row>
    <row r="10" customFormat="false" ht="20.25" hidden="false" customHeight="true" outlineLevel="0" collapsed="false">
      <c r="A10" s="28"/>
      <c r="B10" s="29" t="s">
        <v>61</v>
      </c>
      <c r="C10" s="30" t="s">
        <v>57</v>
      </c>
      <c r="D10" s="32"/>
    </row>
    <row r="11" customFormat="false" ht="20.25" hidden="false" customHeight="true" outlineLevel="0" collapsed="false">
      <c r="A11" s="28"/>
      <c r="B11" s="29" t="s">
        <v>62</v>
      </c>
      <c r="C11" s="33"/>
      <c r="D11" s="32"/>
    </row>
    <row r="12" customFormat="false" ht="34.5" hidden="false" customHeight="true" outlineLevel="0" collapsed="false">
      <c r="A12" s="28"/>
      <c r="B12" s="29" t="s">
        <v>63</v>
      </c>
      <c r="C12" s="33"/>
      <c r="D12" s="32"/>
    </row>
    <row r="13" customFormat="false" ht="34.5" hidden="false" customHeight="true" outlineLevel="0" collapsed="false">
      <c r="A13" s="28"/>
      <c r="B13" s="29" t="s">
        <v>64</v>
      </c>
      <c r="C13" s="33" t="s">
        <v>65</v>
      </c>
      <c r="D13" s="31" t="s">
        <v>58</v>
      </c>
    </row>
    <row r="14" customFormat="false" ht="20.25" hidden="false" customHeight="true" outlineLevel="0" collapsed="false">
      <c r="A14" s="28"/>
      <c r="B14" s="29" t="s">
        <v>66</v>
      </c>
      <c r="C14" s="30" t="s">
        <v>67</v>
      </c>
      <c r="D14" s="32"/>
    </row>
    <row r="15" customFormat="false" ht="20.25" hidden="false" customHeight="true" outlineLevel="0" collapsed="false">
      <c r="A15" s="28"/>
      <c r="B15" s="29" t="s">
        <v>68</v>
      </c>
      <c r="C15" s="30" t="s">
        <v>69</v>
      </c>
      <c r="D15" s="32"/>
    </row>
    <row r="16" customFormat="false" ht="34.5" hidden="false" customHeight="true" outlineLevel="0" collapsed="false">
      <c r="A16" s="28"/>
      <c r="B16" s="29" t="s">
        <v>70</v>
      </c>
      <c r="C16" s="33"/>
      <c r="D16" s="32"/>
    </row>
  </sheetData>
  <mergeCells count="3">
    <mergeCell ref="A1:D1"/>
    <mergeCell ref="A2:D2"/>
    <mergeCell ref="A4:D4"/>
  </mergeCells>
  <conditionalFormatting sqref="B8:D16">
    <cfRule type="expression" priority="2" aboveAverage="0" equalAverage="0" bottom="0" percent="0" rank="0" text="" dxfId="0">
      <formula>$A8="✓"</formula>
    </cfRule>
  </conditionalFormatting>
  <dataValidations count="1">
    <dataValidation allowBlank="true" error="Pick ✓ when the step is done, or — if it does not apply." errorStyle="stop" operator="between" prompt="✓ = done   — = not applicable" showDropDown="false" showErrorMessage="false" showInputMessage="false" sqref="A8:A16"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5"/>
    <col collapsed="false" customWidth="true" hidden="false" outlineLevel="0" max="2" min="2" style="0" width="74"/>
    <col collapsed="false" customWidth="true" hidden="false" outlineLevel="0" max="3" min="3" style="0" width="30"/>
    <col collapsed="false" customWidth="true" hidden="false" outlineLevel="0" max="4" min="4" style="0" width="13"/>
  </cols>
  <sheetData>
    <row r="1" customFormat="false" ht="31.5" hidden="false" customHeight="true" outlineLevel="0" collapsed="false">
      <c r="A1" s="21" t="s">
        <v>71</v>
      </c>
      <c r="B1" s="21"/>
      <c r="C1" s="21"/>
      <c r="D1" s="21"/>
    </row>
    <row r="2" customFormat="false" ht="18" hidden="false" customHeight="true" outlineLevel="0" collapsed="false">
      <c r="A2" s="2" t="s">
        <v>72</v>
      </c>
      <c r="B2" s="2"/>
      <c r="C2" s="2"/>
      <c r="D2" s="2"/>
    </row>
    <row r="4" customFormat="false" ht="20.25" hidden="false" customHeight="true" outlineLevel="0" collapsed="false">
      <c r="A4" s="22" t="s">
        <v>73</v>
      </c>
      <c r="B4" s="22"/>
      <c r="C4" s="22"/>
      <c r="D4" s="22"/>
    </row>
    <row r="5" customFormat="false" ht="30" hidden="false" customHeight="true" outlineLevel="0" collapsed="false">
      <c r="A5" s="23"/>
      <c r="B5" s="24" t="s">
        <v>74</v>
      </c>
      <c r="C5" s="25" t="s">
        <v>75</v>
      </c>
    </row>
    <row r="7" customFormat="false" ht="18" hidden="false" customHeight="true" outlineLevel="0" collapsed="false">
      <c r="A7" s="34" t="s">
        <v>76</v>
      </c>
      <c r="B7" s="34"/>
      <c r="C7" s="34"/>
      <c r="D7" s="34"/>
    </row>
    <row r="8" customFormat="false" ht="25.5" hidden="false" customHeight="true" outlineLevel="0" collapsed="false">
      <c r="A8" s="35"/>
      <c r="B8" s="36" t="s">
        <v>77</v>
      </c>
      <c r="C8" s="37" t="s">
        <v>78</v>
      </c>
      <c r="D8" s="35"/>
    </row>
    <row r="9" customFormat="false" ht="25.5" hidden="false" customHeight="true" outlineLevel="0" collapsed="false">
      <c r="A9" s="35"/>
      <c r="B9" s="36" t="s">
        <v>79</v>
      </c>
      <c r="C9" s="25"/>
      <c r="D9" s="35"/>
    </row>
    <row r="10" customFormat="false" ht="25.5" hidden="false" customHeight="true" outlineLevel="0" collapsed="false">
      <c r="A10" s="35"/>
      <c r="B10" s="36" t="s">
        <v>80</v>
      </c>
      <c r="C10" s="25"/>
      <c r="D10" s="35"/>
    </row>
    <row r="12" customFormat="false" ht="19.5" hidden="false" customHeight="true" outlineLevel="0" collapsed="false">
      <c r="A12" s="26" t="s">
        <v>53</v>
      </c>
      <c r="B12" s="27" t="s">
        <v>54</v>
      </c>
      <c r="C12" s="27" t="s">
        <v>55</v>
      </c>
      <c r="D12" s="9" t="str">
        <f aca="false">COUNTIF(A13:A20,"✓")&amp;" of "&amp;(8-COUNTIF(A13:A20,"—"))</f>
        <v>0 of 8</v>
      </c>
    </row>
    <row r="13" customFormat="false" ht="20.25" hidden="false" customHeight="true" outlineLevel="0" collapsed="false">
      <c r="A13" s="28"/>
      <c r="B13" s="29" t="s">
        <v>81</v>
      </c>
      <c r="C13" s="30" t="s">
        <v>82</v>
      </c>
      <c r="D13" s="32"/>
    </row>
    <row r="14" customFormat="false" ht="34.5" hidden="false" customHeight="true" outlineLevel="0" collapsed="false">
      <c r="A14" s="28"/>
      <c r="B14" s="29" t="s">
        <v>83</v>
      </c>
      <c r="C14" s="30" t="s">
        <v>84</v>
      </c>
      <c r="D14" s="32"/>
    </row>
    <row r="15" customFormat="false" ht="34.5" hidden="false" customHeight="true" outlineLevel="0" collapsed="false">
      <c r="A15" s="28"/>
      <c r="B15" s="29" t="s">
        <v>85</v>
      </c>
      <c r="C15" s="33"/>
      <c r="D15" s="32"/>
    </row>
    <row r="16" customFormat="false" ht="34.5" hidden="false" customHeight="true" outlineLevel="0" collapsed="false">
      <c r="A16" s="28"/>
      <c r="B16" s="29" t="s">
        <v>86</v>
      </c>
      <c r="C16" s="33"/>
      <c r="D16" s="32"/>
    </row>
    <row r="17" customFormat="false" ht="20.25" hidden="false" customHeight="true" outlineLevel="0" collapsed="false">
      <c r="A17" s="28"/>
      <c r="B17" s="29" t="s">
        <v>87</v>
      </c>
      <c r="C17" s="33"/>
      <c r="D17" s="32"/>
    </row>
    <row r="18" customFormat="false" ht="34.5" hidden="false" customHeight="true" outlineLevel="0" collapsed="false">
      <c r="A18" s="28"/>
      <c r="B18" s="29" t="s">
        <v>88</v>
      </c>
      <c r="C18" s="30" t="s">
        <v>89</v>
      </c>
      <c r="D18" s="32"/>
    </row>
    <row r="19" customFormat="false" ht="20.25" hidden="false" customHeight="true" outlineLevel="0" collapsed="false">
      <c r="A19" s="28"/>
      <c r="B19" s="29" t="s">
        <v>90</v>
      </c>
      <c r="C19" s="30" t="s">
        <v>91</v>
      </c>
      <c r="D19" s="32"/>
    </row>
    <row r="20" customFormat="false" ht="34.5" hidden="false" customHeight="true" outlineLevel="0" collapsed="false">
      <c r="A20" s="28"/>
      <c r="B20" s="29" t="s">
        <v>92</v>
      </c>
      <c r="C20" s="30" t="s">
        <v>69</v>
      </c>
      <c r="D20" s="31" t="s">
        <v>58</v>
      </c>
    </row>
  </sheetData>
  <mergeCells count="4">
    <mergeCell ref="A1:D1"/>
    <mergeCell ref="A2:D2"/>
    <mergeCell ref="A4:D4"/>
    <mergeCell ref="A7:D7"/>
  </mergeCells>
  <conditionalFormatting sqref="B13:D20">
    <cfRule type="expression" priority="2" aboveAverage="0" equalAverage="0" bottom="0" percent="0" rank="0" text="" dxfId="0">
      <formula>$A13="✓"</formula>
    </cfRule>
  </conditionalFormatting>
  <dataValidations count="1">
    <dataValidation allowBlank="true" error="Pick ✓ when the step is done, or — if it does not apply." errorStyle="stop" operator="between" prompt="✓ = done   — = not applicable" showDropDown="false" showErrorMessage="false" showInputMessage="false" sqref="A13:A20"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5"/>
    <col collapsed="false" customWidth="true" hidden="false" outlineLevel="0" max="2" min="2" style="0" width="74"/>
    <col collapsed="false" customWidth="true" hidden="false" outlineLevel="0" max="3" min="3" style="0" width="30"/>
    <col collapsed="false" customWidth="true" hidden="false" outlineLevel="0" max="4" min="4" style="0" width="13"/>
  </cols>
  <sheetData>
    <row r="1" customFormat="false" ht="31.5" hidden="false" customHeight="true" outlineLevel="0" collapsed="false">
      <c r="A1" s="21" t="s">
        <v>93</v>
      </c>
      <c r="B1" s="21"/>
      <c r="C1" s="21"/>
      <c r="D1" s="21"/>
    </row>
    <row r="2" customFormat="false" ht="18" hidden="false" customHeight="true" outlineLevel="0" collapsed="false">
      <c r="A2" s="2" t="s">
        <v>72</v>
      </c>
      <c r="B2" s="2"/>
      <c r="C2" s="2"/>
      <c r="D2" s="2"/>
    </row>
    <row r="4" customFormat="false" ht="20.25" hidden="false" customHeight="true" outlineLevel="0" collapsed="false">
      <c r="A4" s="22" t="s">
        <v>94</v>
      </c>
      <c r="B4" s="22"/>
      <c r="C4" s="22"/>
      <c r="D4" s="22"/>
    </row>
    <row r="6" customFormat="false" ht="19.5" hidden="false" customHeight="true" outlineLevel="0" collapsed="false">
      <c r="A6" s="38" t="s">
        <v>95</v>
      </c>
      <c r="B6" s="38"/>
      <c r="C6" s="38"/>
      <c r="D6" s="38"/>
    </row>
    <row r="7" customFormat="false" ht="39" hidden="false" customHeight="true" outlineLevel="0" collapsed="false">
      <c r="A7" s="39" t="s">
        <v>96</v>
      </c>
      <c r="B7" s="39"/>
      <c r="C7" s="39"/>
      <c r="D7" s="39"/>
    </row>
    <row r="9" customFormat="false" ht="18" hidden="false" customHeight="true" outlineLevel="0" collapsed="false">
      <c r="A9" s="34" t="s">
        <v>97</v>
      </c>
      <c r="B9" s="34"/>
      <c r="C9" s="34"/>
      <c r="D9" s="34"/>
    </row>
    <row r="10" customFormat="false" ht="18" hidden="false" customHeight="true" outlineLevel="0" collapsed="false">
      <c r="A10" s="26"/>
      <c r="B10" s="26"/>
      <c r="C10" s="26" t="s">
        <v>98</v>
      </c>
      <c r="D10" s="26" t="s">
        <v>99</v>
      </c>
    </row>
    <row r="11" customFormat="false" ht="24" hidden="false" customHeight="true" outlineLevel="0" collapsed="false">
      <c r="B11" s="40" t="s">
        <v>79</v>
      </c>
      <c r="C11" s="41" t="n">
        <f aca="false">'B Run build'!$C$9</f>
        <v>0</v>
      </c>
      <c r="D11" s="42"/>
    </row>
    <row r="12" customFormat="false" ht="24" hidden="false" customHeight="true" outlineLevel="0" collapsed="false">
      <c r="B12" s="40" t="s">
        <v>80</v>
      </c>
      <c r="C12" s="41" t="n">
        <f aca="false">'B Run build'!$C$10</f>
        <v>0</v>
      </c>
      <c r="D12" s="42"/>
    </row>
    <row r="13" customFormat="false" ht="30" hidden="false" customHeight="true" outlineLevel="0" collapsed="false">
      <c r="A13" s="43" t="str">
        <f aca="false">IF(AND(COUNT('B Run build'!$C$9,'B Run build'!$C$10)=2,COUNT(D11,D12)=2),IF(AND('B Run build'!$C$9=D11,'B Run build'!$C$10=D12),"MATCH — cleared to transmit","DOES NOT MATCH — STOP. Find out why. Never adjust the recorded figure to fit the screen."),"Fill in both columns above before you transmit.")</f>
        <v>Fill in both columns above before you transmit.</v>
      </c>
      <c r="B13" s="43"/>
      <c r="C13" s="43"/>
      <c r="D13" s="43"/>
    </row>
    <row r="15" customFormat="false" ht="19.5" hidden="false" customHeight="true" outlineLevel="0" collapsed="false">
      <c r="A15" s="26" t="s">
        <v>53</v>
      </c>
      <c r="B15" s="27" t="s">
        <v>54</v>
      </c>
      <c r="C15" s="27" t="s">
        <v>55</v>
      </c>
      <c r="D15" s="9" t="str">
        <f aca="false">COUNTIF(A16:A24,"✓")&amp;" of "&amp;(9-COUNTIF(A16:A24,"—"))</f>
        <v>0 of 9</v>
      </c>
    </row>
    <row r="16" customFormat="false" ht="34.5" hidden="false" customHeight="true" outlineLevel="0" collapsed="false">
      <c r="A16" s="28"/>
      <c r="B16" s="29" t="s">
        <v>100</v>
      </c>
      <c r="C16" s="33"/>
      <c r="D16" s="31" t="s">
        <v>58</v>
      </c>
    </row>
    <row r="17" customFormat="false" ht="20.25" hidden="false" customHeight="true" outlineLevel="0" collapsed="false">
      <c r="A17" s="28"/>
      <c r="B17" s="29" t="s">
        <v>101</v>
      </c>
      <c r="C17" s="33"/>
      <c r="D17" s="31" t="s">
        <v>58</v>
      </c>
    </row>
    <row r="18" customFormat="false" ht="20.25" hidden="false" customHeight="true" outlineLevel="0" collapsed="false">
      <c r="A18" s="28"/>
      <c r="B18" s="29" t="s">
        <v>102</v>
      </c>
      <c r="C18" s="30" t="s">
        <v>103</v>
      </c>
      <c r="D18" s="31" t="s">
        <v>58</v>
      </c>
    </row>
    <row r="19" customFormat="false" ht="20.25" hidden="false" customHeight="true" outlineLevel="0" collapsed="false">
      <c r="A19" s="28"/>
      <c r="B19" s="29" t="s">
        <v>104</v>
      </c>
      <c r="C19" s="33"/>
      <c r="D19" s="32"/>
    </row>
    <row r="20" customFormat="false" ht="20.25" hidden="false" customHeight="true" outlineLevel="0" collapsed="false">
      <c r="A20" s="28"/>
      <c r="B20" s="29" t="s">
        <v>105</v>
      </c>
      <c r="C20" s="30" t="s">
        <v>106</v>
      </c>
      <c r="D20" s="32"/>
    </row>
    <row r="21" customFormat="false" ht="20.25" hidden="false" customHeight="true" outlineLevel="0" collapsed="false">
      <c r="A21" s="28"/>
      <c r="B21" s="29" t="s">
        <v>107</v>
      </c>
      <c r="C21" s="33"/>
      <c r="D21" s="32"/>
    </row>
    <row r="22" customFormat="false" ht="34.5" hidden="false" customHeight="true" outlineLevel="0" collapsed="false">
      <c r="A22" s="28"/>
      <c r="B22" s="29" t="s">
        <v>108</v>
      </c>
      <c r="C22" s="30" t="s">
        <v>109</v>
      </c>
      <c r="D22" s="31" t="s">
        <v>58</v>
      </c>
    </row>
    <row r="23" customFormat="false" ht="20.25" hidden="false" customHeight="true" outlineLevel="0" collapsed="false">
      <c r="A23" s="28"/>
      <c r="B23" s="29" t="s">
        <v>110</v>
      </c>
      <c r="C23" s="30" t="s">
        <v>111</v>
      </c>
      <c r="D23" s="32"/>
    </row>
    <row r="24" customFormat="false" ht="20.25" hidden="false" customHeight="true" outlineLevel="0" collapsed="false">
      <c r="A24" s="28"/>
      <c r="B24" s="29" t="s">
        <v>112</v>
      </c>
      <c r="C24" s="30" t="s">
        <v>111</v>
      </c>
      <c r="D24" s="32"/>
    </row>
    <row r="26" customFormat="false" ht="18" hidden="false" customHeight="true" outlineLevel="0" collapsed="false">
      <c r="A26" s="34" t="s">
        <v>113</v>
      </c>
      <c r="B26" s="34"/>
      <c r="C26" s="34"/>
      <c r="D26" s="34"/>
    </row>
    <row r="27" customFormat="false" ht="25.5" hidden="false" customHeight="true" outlineLevel="0" collapsed="false">
      <c r="A27" s="35"/>
      <c r="B27" s="36" t="s">
        <v>114</v>
      </c>
      <c r="C27" s="25"/>
      <c r="D27" s="35"/>
    </row>
    <row r="28" customFormat="false" ht="25.5" hidden="false" customHeight="true" outlineLevel="0" collapsed="false">
      <c r="A28" s="35"/>
      <c r="B28" s="36" t="s">
        <v>115</v>
      </c>
      <c r="C28" s="25"/>
      <c r="D28" s="35"/>
    </row>
    <row r="29" customFormat="false" ht="25.5" hidden="false" customHeight="true" outlineLevel="0" collapsed="false">
      <c r="A29" s="35"/>
      <c r="B29" s="36" t="s">
        <v>116</v>
      </c>
      <c r="C29" s="25"/>
      <c r="D29" s="35"/>
    </row>
    <row r="31" customFormat="false" ht="18" hidden="false" customHeight="true" outlineLevel="0" collapsed="false">
      <c r="A31" s="44" t="s">
        <v>117</v>
      </c>
      <c r="B31" s="44"/>
      <c r="C31" s="44"/>
      <c r="D31" s="44"/>
    </row>
    <row r="32" customFormat="false" ht="55.5" hidden="false" customHeight="true" outlineLevel="0" collapsed="false">
      <c r="A32" s="45" t="s">
        <v>118</v>
      </c>
      <c r="B32" s="45"/>
      <c r="C32" s="45"/>
      <c r="D32" s="45"/>
    </row>
  </sheetData>
  <mergeCells count="10">
    <mergeCell ref="A1:D1"/>
    <mergeCell ref="A2:D2"/>
    <mergeCell ref="A4:D4"/>
    <mergeCell ref="A6:D6"/>
    <mergeCell ref="A7:D7"/>
    <mergeCell ref="A9:D9"/>
    <mergeCell ref="A13:D13"/>
    <mergeCell ref="A26:D26"/>
    <mergeCell ref="A31:D31"/>
    <mergeCell ref="A32:D32"/>
  </mergeCells>
  <conditionalFormatting sqref="A13:D13">
    <cfRule type="expression" priority="2" aboveAverage="0" equalAverage="0" bottom="0" percent="0" rank="0" text="" dxfId="1">
      <formula>ISNUMBER(SEARCH("MATCH — cleared",$A13))</formula>
    </cfRule>
    <cfRule type="expression" priority="3" aboveAverage="0" equalAverage="0" bottom="0" percent="0" rank="0" text="" dxfId="2">
      <formula>ISNUMBER(SEARCH("DOES NOT MATCH",$A13))</formula>
    </cfRule>
  </conditionalFormatting>
  <conditionalFormatting sqref="B16:D24">
    <cfRule type="expression" priority="4" aboveAverage="0" equalAverage="0" bottom="0" percent="0" rank="0" text="" dxfId="0">
      <formula>$A16="✓"</formula>
    </cfRule>
  </conditionalFormatting>
  <dataValidations count="1">
    <dataValidation allowBlank="true" error="Pick ✓ when the step is done, or — if it does not apply." errorStyle="stop" operator="between" prompt="✓ = done   — = not applicable" showDropDown="false" showErrorMessage="false" showInputMessage="false" sqref="A16:A24"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5"/>
    <col collapsed="false" customWidth="true" hidden="false" outlineLevel="0" max="2" min="2" style="0" width="74"/>
    <col collapsed="false" customWidth="true" hidden="false" outlineLevel="0" max="3" min="3" style="0" width="30"/>
    <col collapsed="false" customWidth="true" hidden="false" outlineLevel="0" max="4" min="4" style="0" width="13"/>
  </cols>
  <sheetData>
    <row r="1" customFormat="false" ht="31.5" hidden="false" customHeight="true" outlineLevel="0" collapsed="false">
      <c r="A1" s="21" t="s">
        <v>119</v>
      </c>
      <c r="B1" s="21"/>
      <c r="C1" s="21"/>
      <c r="D1" s="21"/>
    </row>
    <row r="2" customFormat="false" ht="18" hidden="false" customHeight="true" outlineLevel="0" collapsed="false">
      <c r="A2" s="2" t="s">
        <v>120</v>
      </c>
      <c r="B2" s="2"/>
      <c r="C2" s="2"/>
      <c r="D2" s="2"/>
    </row>
    <row r="4" customFormat="false" ht="20.25" hidden="false" customHeight="true" outlineLevel="0" collapsed="false">
      <c r="A4" s="22" t="s">
        <v>121</v>
      </c>
      <c r="B4" s="22"/>
      <c r="C4" s="22"/>
      <c r="D4" s="22"/>
    </row>
    <row r="6" customFormat="false" ht="19.5" hidden="false" customHeight="true" outlineLevel="0" collapsed="false">
      <c r="A6" s="26" t="s">
        <v>53</v>
      </c>
      <c r="B6" s="27" t="s">
        <v>54</v>
      </c>
      <c r="C6" s="27" t="s">
        <v>55</v>
      </c>
      <c r="D6" s="9" t="str">
        <f aca="false">COUNTIF(A7:A14,"✓")&amp;" of "&amp;(8-COUNTIF(A7:A14,"—"))</f>
        <v>0 of 8</v>
      </c>
    </row>
    <row r="7" customFormat="false" ht="20.25" hidden="false" customHeight="true" outlineLevel="0" collapsed="false">
      <c r="A7" s="28"/>
      <c r="B7" s="29" t="s">
        <v>122</v>
      </c>
      <c r="C7" s="30" t="s">
        <v>123</v>
      </c>
      <c r="D7" s="32"/>
    </row>
    <row r="8" customFormat="false" ht="20.25" hidden="false" customHeight="true" outlineLevel="0" collapsed="false">
      <c r="A8" s="28"/>
      <c r="B8" s="29" t="s">
        <v>124</v>
      </c>
      <c r="C8" s="30" t="s">
        <v>125</v>
      </c>
      <c r="D8" s="32"/>
    </row>
    <row r="9" customFormat="false" ht="20.25" hidden="false" customHeight="true" outlineLevel="0" collapsed="false">
      <c r="A9" s="28"/>
      <c r="B9" s="29" t="s">
        <v>126</v>
      </c>
      <c r="C9" s="30" t="s">
        <v>127</v>
      </c>
      <c r="D9" s="32"/>
    </row>
    <row r="10" customFormat="false" ht="20.25" hidden="false" customHeight="true" outlineLevel="0" collapsed="false">
      <c r="A10" s="28"/>
      <c r="B10" s="29" t="s">
        <v>128</v>
      </c>
      <c r="C10" s="30" t="s">
        <v>129</v>
      </c>
      <c r="D10" s="32"/>
    </row>
    <row r="11" customFormat="false" ht="34.5" hidden="false" customHeight="true" outlineLevel="0" collapsed="false">
      <c r="A11" s="28"/>
      <c r="B11" s="29" t="s">
        <v>130</v>
      </c>
      <c r="C11" s="30" t="s">
        <v>131</v>
      </c>
      <c r="D11" s="32"/>
    </row>
    <row r="12" customFormat="false" ht="34.5" hidden="false" customHeight="true" outlineLevel="0" collapsed="false">
      <c r="A12" s="28"/>
      <c r="B12" s="29" t="s">
        <v>132</v>
      </c>
      <c r="C12" s="30" t="s">
        <v>133</v>
      </c>
      <c r="D12" s="32"/>
    </row>
    <row r="13" customFormat="false" ht="20.25" hidden="false" customHeight="true" outlineLevel="0" collapsed="false">
      <c r="A13" s="28"/>
      <c r="B13" s="29" t="s">
        <v>134</v>
      </c>
      <c r="C13" s="33"/>
      <c r="D13" s="32"/>
    </row>
    <row r="14" customFormat="false" ht="20.25" hidden="false" customHeight="true" outlineLevel="0" collapsed="false">
      <c r="A14" s="28"/>
      <c r="B14" s="29" t="s">
        <v>135</v>
      </c>
      <c r="C14" s="33"/>
      <c r="D14" s="32"/>
    </row>
  </sheetData>
  <mergeCells count="3">
    <mergeCell ref="A1:D1"/>
    <mergeCell ref="A2:D2"/>
    <mergeCell ref="A4:D4"/>
  </mergeCells>
  <conditionalFormatting sqref="B7:D14">
    <cfRule type="expression" priority="2" aboveAverage="0" equalAverage="0" bottom="0" percent="0" rank="0" text="" dxfId="0">
      <formula>$A7="✓"</formula>
    </cfRule>
  </conditionalFormatting>
  <dataValidations count="1">
    <dataValidation allowBlank="true" error="Pick ✓ when the step is done, or — if it does not apply." errorStyle="stop" operator="between" prompt="✓ = done   — = not applicable" showDropDown="false" showErrorMessage="false" showInputMessage="false" sqref="A7:A14"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5"/>
    <col collapsed="false" customWidth="true" hidden="false" outlineLevel="0" max="2" min="2" style="0" width="74"/>
    <col collapsed="false" customWidth="true" hidden="false" outlineLevel="0" max="3" min="3" style="0" width="30"/>
    <col collapsed="false" customWidth="true" hidden="false" outlineLevel="0" max="4" min="4" style="0" width="13"/>
  </cols>
  <sheetData>
    <row r="1" customFormat="false" ht="31.5" hidden="false" customHeight="true" outlineLevel="0" collapsed="false">
      <c r="A1" s="21" t="s">
        <v>136</v>
      </c>
      <c r="B1" s="21"/>
      <c r="C1" s="21"/>
      <c r="D1" s="21"/>
    </row>
    <row r="2" customFormat="false" ht="18" hidden="false" customHeight="true" outlineLevel="0" collapsed="false">
      <c r="A2" s="2" t="s">
        <v>137</v>
      </c>
      <c r="B2" s="2"/>
      <c r="C2" s="2"/>
      <c r="D2" s="2"/>
    </row>
    <row r="4" customFormat="false" ht="20.25" hidden="false" customHeight="true" outlineLevel="0" collapsed="false">
      <c r="A4" s="22" t="s">
        <v>138</v>
      </c>
      <c r="B4" s="22"/>
      <c r="C4" s="22"/>
      <c r="D4" s="22"/>
    </row>
    <row r="6" customFormat="false" ht="19.5" hidden="false" customHeight="true" outlineLevel="0" collapsed="false">
      <c r="A6" s="38" t="s">
        <v>139</v>
      </c>
      <c r="B6" s="38"/>
      <c r="C6" s="38"/>
      <c r="D6" s="38"/>
    </row>
    <row r="7" customFormat="false" ht="53.25" hidden="false" customHeight="true" outlineLevel="0" collapsed="false">
      <c r="A7" s="39" t="s">
        <v>140</v>
      </c>
      <c r="B7" s="39"/>
      <c r="C7" s="39"/>
      <c r="D7" s="39"/>
    </row>
    <row r="9" customFormat="false" ht="19.5" hidden="false" customHeight="true" outlineLevel="0" collapsed="false">
      <c r="A9" s="26" t="s">
        <v>53</v>
      </c>
      <c r="B9" s="27" t="s">
        <v>54</v>
      </c>
      <c r="C9" s="27" t="s">
        <v>55</v>
      </c>
      <c r="D9" s="9" t="str">
        <f aca="false">COUNTIF(A10:A18,"✓")&amp;" of "&amp;(9-COUNTIF(A10:A18,"—"))</f>
        <v>0 of 9</v>
      </c>
    </row>
    <row r="10" customFormat="false" ht="20.25" hidden="false" customHeight="true" outlineLevel="0" collapsed="false">
      <c r="A10" s="28"/>
      <c r="B10" s="29" t="s">
        <v>141</v>
      </c>
      <c r="C10" s="33"/>
      <c r="D10" s="31" t="s">
        <v>58</v>
      </c>
    </row>
    <row r="11" customFormat="false" ht="49.5" hidden="false" customHeight="true" outlineLevel="0" collapsed="false">
      <c r="A11" s="28"/>
      <c r="B11" s="29" t="s">
        <v>142</v>
      </c>
      <c r="C11" s="33"/>
      <c r="D11" s="31" t="s">
        <v>58</v>
      </c>
    </row>
    <row r="12" customFormat="false" ht="20.25" hidden="false" customHeight="true" outlineLevel="0" collapsed="false">
      <c r="A12" s="28"/>
      <c r="B12" s="29" t="s">
        <v>143</v>
      </c>
      <c r="C12" s="33"/>
      <c r="D12" s="31" t="s">
        <v>58</v>
      </c>
    </row>
    <row r="13" customFormat="false" ht="34.5" hidden="false" customHeight="true" outlineLevel="0" collapsed="false">
      <c r="A13" s="28"/>
      <c r="B13" s="29" t="s">
        <v>144</v>
      </c>
      <c r="C13" s="33"/>
      <c r="D13" s="31" t="s">
        <v>58</v>
      </c>
    </row>
    <row r="14" customFormat="false" ht="20.25" hidden="false" customHeight="true" outlineLevel="0" collapsed="false">
      <c r="A14" s="28"/>
      <c r="B14" s="29" t="s">
        <v>145</v>
      </c>
      <c r="C14" s="30" t="s">
        <v>146</v>
      </c>
      <c r="D14" s="31" t="s">
        <v>58</v>
      </c>
    </row>
    <row r="15" customFormat="false" ht="20.25" hidden="false" customHeight="true" outlineLevel="0" collapsed="false">
      <c r="A15" s="28"/>
      <c r="B15" s="29" t="s">
        <v>147</v>
      </c>
      <c r="C15" s="33"/>
      <c r="D15" s="32"/>
    </row>
    <row r="16" customFormat="false" ht="20.25" hidden="false" customHeight="true" outlineLevel="0" collapsed="false">
      <c r="A16" s="28"/>
      <c r="B16" s="29" t="s">
        <v>148</v>
      </c>
      <c r="C16" s="30" t="s">
        <v>125</v>
      </c>
      <c r="D16" s="32"/>
    </row>
    <row r="17" customFormat="false" ht="20.25" hidden="false" customHeight="true" outlineLevel="0" collapsed="false">
      <c r="A17" s="28"/>
      <c r="B17" s="29" t="s">
        <v>149</v>
      </c>
      <c r="C17" s="30" t="s">
        <v>150</v>
      </c>
      <c r="D17" s="31" t="s">
        <v>58</v>
      </c>
    </row>
    <row r="18" customFormat="false" ht="20.25" hidden="false" customHeight="true" outlineLevel="0" collapsed="false">
      <c r="A18" s="28"/>
      <c r="B18" s="29" t="s">
        <v>151</v>
      </c>
      <c r="C18" s="30" t="s">
        <v>123</v>
      </c>
      <c r="D18" s="32"/>
    </row>
    <row r="20" customFormat="false" ht="18" hidden="false" customHeight="true" outlineLevel="0" collapsed="false">
      <c r="A20" s="34" t="s">
        <v>152</v>
      </c>
      <c r="B20" s="34"/>
      <c r="C20" s="34"/>
      <c r="D20" s="34"/>
    </row>
    <row r="21" customFormat="false" ht="25.5" hidden="false" customHeight="true" outlineLevel="0" collapsed="false">
      <c r="A21" s="35"/>
      <c r="B21" s="36" t="s">
        <v>153</v>
      </c>
      <c r="C21" s="25"/>
      <c r="D21" s="35"/>
    </row>
    <row r="22" customFormat="false" ht="25.5" hidden="false" customHeight="true" outlineLevel="0" collapsed="false">
      <c r="A22" s="35"/>
      <c r="B22" s="36" t="s">
        <v>154</v>
      </c>
      <c r="C22" s="25"/>
      <c r="D22" s="35"/>
    </row>
    <row r="23" customFormat="false" ht="25.5" hidden="false" customHeight="true" outlineLevel="0" collapsed="false">
      <c r="A23" s="35"/>
      <c r="B23" s="36" t="s">
        <v>155</v>
      </c>
      <c r="C23" s="25"/>
      <c r="D23" s="35"/>
    </row>
    <row r="24" customFormat="false" ht="25.5" hidden="false" customHeight="true" outlineLevel="0" collapsed="false">
      <c r="A24" s="35"/>
      <c r="B24" s="36" t="s">
        <v>156</v>
      </c>
      <c r="C24" s="25"/>
      <c r="D24" s="35"/>
    </row>
    <row r="25" customFormat="false" ht="25.5" hidden="false" customHeight="true" outlineLevel="0" collapsed="false">
      <c r="A25" s="35"/>
      <c r="B25" s="36" t="s">
        <v>157</v>
      </c>
      <c r="C25" s="25"/>
      <c r="D25" s="35"/>
    </row>
    <row r="27" customFormat="false" ht="18" hidden="false" customHeight="true" outlineLevel="0" collapsed="false">
      <c r="A27" s="46" t="s">
        <v>158</v>
      </c>
      <c r="B27" s="46"/>
      <c r="C27" s="46"/>
      <c r="D27" s="46"/>
    </row>
    <row r="28" customFormat="false" ht="55.5" hidden="false" customHeight="true" outlineLevel="0" collapsed="false">
      <c r="A28" s="47" t="s">
        <v>159</v>
      </c>
      <c r="B28" s="47"/>
      <c r="C28" s="47"/>
      <c r="D28" s="47"/>
    </row>
  </sheetData>
  <mergeCells count="8">
    <mergeCell ref="A1:D1"/>
    <mergeCell ref="A2:D2"/>
    <mergeCell ref="A4:D4"/>
    <mergeCell ref="A6:D6"/>
    <mergeCell ref="A7:D7"/>
    <mergeCell ref="A20:D20"/>
    <mergeCell ref="A27:D27"/>
    <mergeCell ref="A28:D28"/>
  </mergeCells>
  <conditionalFormatting sqref="B10:D18">
    <cfRule type="expression" priority="2" aboveAverage="0" equalAverage="0" bottom="0" percent="0" rank="0" text="" dxfId="0">
      <formula>$A10="✓"</formula>
    </cfRule>
  </conditionalFormatting>
  <dataValidations count="1">
    <dataValidation allowBlank="true" error="Pick ✓ when the step is done, or — if it does not apply." errorStyle="stop" operator="between" prompt="✓ = done   — = not applicable" showDropDown="false" showErrorMessage="false" showInputMessage="false" sqref="A10:A18"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1"/>
    <col collapsed="false" customWidth="true" hidden="false" outlineLevel="0" max="4" min="4" style="0" width="22"/>
    <col collapsed="false" customWidth="true" hidden="false" outlineLevel="0" max="5" min="5" style="0" width="11"/>
    <col collapsed="false" customWidth="true" hidden="false" outlineLevel="0" max="6" min="6" style="0" width="16"/>
    <col collapsed="false" customWidth="true" hidden="false" outlineLevel="0" max="7" min="7" style="0" width="14"/>
    <col collapsed="false" customWidth="true" hidden="false" outlineLevel="0" max="8" min="8" style="0" width="40"/>
  </cols>
  <sheetData>
    <row r="1" customFormat="false" ht="25.5" hidden="false" customHeight="true" outlineLevel="0" collapsed="false">
      <c r="A1" s="48" t="s">
        <v>77</v>
      </c>
      <c r="B1" s="48" t="s">
        <v>79</v>
      </c>
      <c r="C1" s="48" t="s">
        <v>80</v>
      </c>
      <c r="D1" s="48" t="s">
        <v>114</v>
      </c>
      <c r="E1" s="48" t="s">
        <v>115</v>
      </c>
      <c r="F1" s="48" t="s">
        <v>160</v>
      </c>
      <c r="G1" s="48" t="s">
        <v>161</v>
      </c>
      <c r="H1" s="48" t="s">
        <v>162</v>
      </c>
    </row>
    <row r="2" customFormat="false" ht="27.75" hidden="false" customHeight="true" outlineLevel="0" collapsed="false">
      <c r="A2" s="49" t="s">
        <v>163</v>
      </c>
      <c r="B2" s="50" t="n">
        <v>48250</v>
      </c>
      <c r="C2" s="51" t="n">
        <v>37</v>
      </c>
      <c r="D2" s="49" t="s">
        <v>164</v>
      </c>
      <c r="E2" s="49" t="s">
        <v>165</v>
      </c>
      <c r="F2" s="49" t="s">
        <v>166</v>
      </c>
      <c r="G2" s="49" t="s">
        <v>167</v>
      </c>
      <c r="H2" s="52" t="s">
        <v>168</v>
      </c>
    </row>
    <row r="3" customFormat="false" ht="19.5" hidden="false" customHeight="true" outlineLevel="0" collapsed="false">
      <c r="A3" s="53"/>
      <c r="B3" s="54"/>
      <c r="C3" s="55"/>
      <c r="D3" s="53"/>
      <c r="E3" s="53"/>
      <c r="F3" s="53"/>
      <c r="G3" s="53"/>
      <c r="H3" s="56"/>
    </row>
    <row r="4" customFormat="false" ht="19.5" hidden="false" customHeight="true" outlineLevel="0" collapsed="false">
      <c r="A4" s="53"/>
      <c r="B4" s="54"/>
      <c r="C4" s="55"/>
      <c r="D4" s="53"/>
      <c r="E4" s="53"/>
      <c r="F4" s="53"/>
      <c r="G4" s="53"/>
      <c r="H4" s="56"/>
    </row>
    <row r="5" customFormat="false" ht="19.5" hidden="false" customHeight="true" outlineLevel="0" collapsed="false">
      <c r="A5" s="53"/>
      <c r="B5" s="54"/>
      <c r="C5" s="55"/>
      <c r="D5" s="53"/>
      <c r="E5" s="53"/>
      <c r="F5" s="53"/>
      <c r="G5" s="53"/>
      <c r="H5" s="56"/>
    </row>
    <row r="6" customFormat="false" ht="19.5" hidden="false" customHeight="true" outlineLevel="0" collapsed="false">
      <c r="A6" s="53"/>
      <c r="B6" s="54"/>
      <c r="C6" s="55"/>
      <c r="D6" s="53"/>
      <c r="E6" s="53"/>
      <c r="F6" s="53"/>
      <c r="G6" s="53"/>
      <c r="H6" s="56"/>
    </row>
    <row r="7" customFormat="false" ht="19.5" hidden="false" customHeight="true" outlineLevel="0" collapsed="false">
      <c r="A7" s="53"/>
      <c r="B7" s="54"/>
      <c r="C7" s="55"/>
      <c r="D7" s="53"/>
      <c r="E7" s="53"/>
      <c r="F7" s="53"/>
      <c r="G7" s="53"/>
      <c r="H7" s="56"/>
    </row>
    <row r="8" customFormat="false" ht="19.5" hidden="false" customHeight="true" outlineLevel="0" collapsed="false">
      <c r="A8" s="53"/>
      <c r="B8" s="54"/>
      <c r="C8" s="55"/>
      <c r="D8" s="53"/>
      <c r="E8" s="53"/>
      <c r="F8" s="53"/>
      <c r="G8" s="53"/>
      <c r="H8" s="56"/>
    </row>
    <row r="9" customFormat="false" ht="19.5" hidden="false" customHeight="true" outlineLevel="0" collapsed="false">
      <c r="A9" s="53"/>
      <c r="B9" s="54"/>
      <c r="C9" s="55"/>
      <c r="D9" s="53"/>
      <c r="E9" s="53"/>
      <c r="F9" s="53"/>
      <c r="G9" s="53"/>
      <c r="H9" s="56"/>
    </row>
    <row r="10" customFormat="false" ht="19.5" hidden="false" customHeight="true" outlineLevel="0" collapsed="false">
      <c r="A10" s="53"/>
      <c r="B10" s="54"/>
      <c r="C10" s="55"/>
      <c r="D10" s="53"/>
      <c r="E10" s="53"/>
      <c r="F10" s="53"/>
      <c r="G10" s="53"/>
      <c r="H10" s="56"/>
    </row>
    <row r="11" customFormat="false" ht="19.5" hidden="false" customHeight="true" outlineLevel="0" collapsed="false">
      <c r="A11" s="53"/>
      <c r="B11" s="54"/>
      <c r="C11" s="55"/>
      <c r="D11" s="53"/>
      <c r="E11" s="53"/>
      <c r="F11" s="53"/>
      <c r="G11" s="53"/>
      <c r="H11" s="56"/>
    </row>
    <row r="12" customFormat="false" ht="19.5" hidden="false" customHeight="true" outlineLevel="0" collapsed="false">
      <c r="A12" s="53"/>
      <c r="B12" s="54"/>
      <c r="C12" s="55"/>
      <c r="D12" s="53"/>
      <c r="E12" s="53"/>
      <c r="F12" s="53"/>
      <c r="G12" s="53"/>
      <c r="H12" s="56"/>
    </row>
    <row r="13" customFormat="false" ht="19.5" hidden="false" customHeight="true" outlineLevel="0" collapsed="false">
      <c r="A13" s="53"/>
      <c r="B13" s="54"/>
      <c r="C13" s="55"/>
      <c r="D13" s="53"/>
      <c r="E13" s="53"/>
      <c r="F13" s="53"/>
      <c r="G13" s="53"/>
      <c r="H13" s="56"/>
    </row>
    <row r="14" customFormat="false" ht="19.5" hidden="false" customHeight="true" outlineLevel="0" collapsed="false">
      <c r="A14" s="53"/>
      <c r="B14" s="54"/>
      <c r="C14" s="55"/>
      <c r="D14" s="53"/>
      <c r="E14" s="53"/>
      <c r="F14" s="53"/>
      <c r="G14" s="53"/>
      <c r="H14" s="56"/>
    </row>
    <row r="15" customFormat="false" ht="19.5" hidden="false" customHeight="true" outlineLevel="0" collapsed="false">
      <c r="A15" s="53"/>
      <c r="B15" s="54"/>
      <c r="C15" s="55"/>
      <c r="D15" s="53"/>
      <c r="E15" s="53"/>
      <c r="F15" s="53"/>
      <c r="G15" s="53"/>
      <c r="H15" s="56"/>
    </row>
    <row r="16" customFormat="false" ht="19.5" hidden="false" customHeight="true" outlineLevel="0" collapsed="false">
      <c r="A16" s="53"/>
      <c r="B16" s="54"/>
      <c r="C16" s="55"/>
      <c r="D16" s="53"/>
      <c r="E16" s="53"/>
      <c r="F16" s="53"/>
      <c r="G16" s="53"/>
      <c r="H16" s="56"/>
    </row>
    <row r="17" customFormat="false" ht="19.5" hidden="false" customHeight="true" outlineLevel="0" collapsed="false">
      <c r="A17" s="53"/>
      <c r="B17" s="54"/>
      <c r="C17" s="55"/>
      <c r="D17" s="53"/>
      <c r="E17" s="53"/>
      <c r="F17" s="53"/>
      <c r="G17" s="53"/>
      <c r="H17" s="56"/>
    </row>
    <row r="18" customFormat="false" ht="19.5" hidden="false" customHeight="true" outlineLevel="0" collapsed="false">
      <c r="A18" s="53"/>
      <c r="B18" s="54"/>
      <c r="C18" s="55"/>
      <c r="D18" s="53"/>
      <c r="E18" s="53"/>
      <c r="F18" s="53"/>
      <c r="G18" s="53"/>
      <c r="H18" s="56"/>
    </row>
    <row r="19" customFormat="false" ht="19.5" hidden="false" customHeight="true" outlineLevel="0" collapsed="false">
      <c r="A19" s="53"/>
      <c r="B19" s="54"/>
      <c r="C19" s="55"/>
      <c r="D19" s="53"/>
      <c r="E19" s="53"/>
      <c r="F19" s="53"/>
      <c r="G19" s="53"/>
      <c r="H19" s="56"/>
    </row>
    <row r="20" customFormat="false" ht="19.5" hidden="false" customHeight="true" outlineLevel="0" collapsed="false">
      <c r="A20" s="53"/>
      <c r="B20" s="54"/>
      <c r="C20" s="55"/>
      <c r="D20" s="53"/>
      <c r="E20" s="53"/>
      <c r="F20" s="53"/>
      <c r="G20" s="53"/>
      <c r="H20" s="56"/>
    </row>
    <row r="21" customFormat="false" ht="19.5" hidden="false" customHeight="true" outlineLevel="0" collapsed="false">
      <c r="A21" s="53"/>
      <c r="B21" s="54"/>
      <c r="C21" s="55"/>
      <c r="D21" s="53"/>
      <c r="E21" s="53"/>
      <c r="F21" s="53"/>
      <c r="G21" s="53"/>
      <c r="H21" s="56"/>
    </row>
    <row r="22" customFormat="false" ht="19.5" hidden="false" customHeight="true" outlineLevel="0" collapsed="false">
      <c r="A22" s="53"/>
      <c r="B22" s="54"/>
      <c r="C22" s="55"/>
      <c r="D22" s="53"/>
      <c r="E22" s="53"/>
      <c r="F22" s="53"/>
      <c r="G22" s="53"/>
      <c r="H22" s="56"/>
    </row>
    <row r="23" customFormat="false" ht="19.5" hidden="false" customHeight="true" outlineLevel="0" collapsed="false">
      <c r="A23" s="53"/>
      <c r="B23" s="54"/>
      <c r="C23" s="55"/>
      <c r="D23" s="53"/>
      <c r="E23" s="53"/>
      <c r="F23" s="53"/>
      <c r="G23" s="53"/>
      <c r="H23" s="56"/>
    </row>
    <row r="24" customFormat="false" ht="19.5" hidden="false" customHeight="true" outlineLevel="0" collapsed="false">
      <c r="A24" s="53"/>
      <c r="B24" s="54"/>
      <c r="C24" s="55"/>
      <c r="D24" s="53"/>
      <c r="E24" s="53"/>
      <c r="F24" s="53"/>
      <c r="G24" s="53"/>
      <c r="H24" s="56"/>
    </row>
    <row r="25" customFormat="false" ht="19.5" hidden="false" customHeight="true" outlineLevel="0" collapsed="false">
      <c r="A25" s="53"/>
      <c r="B25" s="54"/>
      <c r="C25" s="55"/>
      <c r="D25" s="53"/>
      <c r="E25" s="53"/>
      <c r="F25" s="53"/>
      <c r="G25" s="53"/>
      <c r="H25" s="56"/>
    </row>
    <row r="26" customFormat="false" ht="19.5" hidden="false" customHeight="true" outlineLevel="0" collapsed="false">
      <c r="A26" s="53"/>
      <c r="B26" s="54"/>
      <c r="C26" s="55"/>
      <c r="D26" s="53"/>
      <c r="E26" s="53"/>
      <c r="F26" s="53"/>
      <c r="G26" s="53"/>
      <c r="H26" s="56"/>
    </row>
    <row r="27" customFormat="false" ht="19.5" hidden="false" customHeight="true" outlineLevel="0" collapsed="false">
      <c r="A27" s="53"/>
      <c r="B27" s="54"/>
      <c r="C27" s="55"/>
      <c r="D27" s="53"/>
      <c r="E27" s="53"/>
      <c r="F27" s="53"/>
      <c r="G27" s="53"/>
      <c r="H27" s="56"/>
    </row>
    <row r="28" customFormat="false" ht="19.5" hidden="false" customHeight="true" outlineLevel="0" collapsed="false">
      <c r="A28" s="53"/>
      <c r="B28" s="54"/>
      <c r="C28" s="55"/>
      <c r="D28" s="53"/>
      <c r="E28" s="53"/>
      <c r="F28" s="53"/>
      <c r="G28" s="53"/>
      <c r="H28" s="56"/>
    </row>
    <row r="29" customFormat="false" ht="19.5" hidden="false" customHeight="true" outlineLevel="0" collapsed="false">
      <c r="A29" s="53"/>
      <c r="B29" s="54"/>
      <c r="C29" s="55"/>
      <c r="D29" s="53"/>
      <c r="E29" s="53"/>
      <c r="F29" s="53"/>
      <c r="G29" s="53"/>
      <c r="H29" s="56"/>
    </row>
    <row r="30" customFormat="false" ht="19.5" hidden="false" customHeight="true" outlineLevel="0" collapsed="false">
      <c r="A30" s="53"/>
      <c r="B30" s="54"/>
      <c r="C30" s="55"/>
      <c r="D30" s="53"/>
      <c r="E30" s="53"/>
      <c r="F30" s="53"/>
      <c r="G30" s="53"/>
      <c r="H30" s="56"/>
    </row>
    <row r="31" customFormat="false" ht="19.5" hidden="false" customHeight="true" outlineLevel="0" collapsed="false">
      <c r="A31" s="53"/>
      <c r="B31" s="54"/>
      <c r="C31" s="55"/>
      <c r="D31" s="53"/>
      <c r="E31" s="53"/>
      <c r="F31" s="53"/>
      <c r="G31" s="53"/>
      <c r="H31" s="56"/>
    </row>
    <row r="32" customFormat="false" ht="19.5" hidden="false" customHeight="true" outlineLevel="0" collapsed="false">
      <c r="A32" s="53"/>
      <c r="B32" s="54"/>
      <c r="C32" s="55"/>
      <c r="D32" s="53"/>
      <c r="E32" s="53"/>
      <c r="F32" s="53"/>
      <c r="G32" s="53"/>
      <c r="H32" s="56"/>
    </row>
    <row r="33" customFormat="false" ht="19.5" hidden="false" customHeight="true" outlineLevel="0" collapsed="false">
      <c r="A33" s="53"/>
      <c r="B33" s="54"/>
      <c r="C33" s="55"/>
      <c r="D33" s="53"/>
      <c r="E33" s="53"/>
      <c r="F33" s="53"/>
      <c r="G33" s="53"/>
      <c r="H33" s="56"/>
    </row>
    <row r="34" customFormat="false" ht="19.5" hidden="false" customHeight="true" outlineLevel="0" collapsed="false">
      <c r="A34" s="53"/>
      <c r="B34" s="54"/>
      <c r="C34" s="55"/>
      <c r="D34" s="53"/>
      <c r="E34" s="53"/>
      <c r="F34" s="53"/>
      <c r="G34" s="53"/>
      <c r="H34" s="56"/>
    </row>
    <row r="35" customFormat="false" ht="19.5" hidden="false" customHeight="true" outlineLevel="0" collapsed="false">
      <c r="A35" s="53"/>
      <c r="B35" s="54"/>
      <c r="C35" s="55"/>
      <c r="D35" s="53"/>
      <c r="E35" s="53"/>
      <c r="F35" s="53"/>
      <c r="G35" s="53"/>
      <c r="H35" s="56"/>
    </row>
    <row r="36" customFormat="false" ht="19.5" hidden="false" customHeight="true" outlineLevel="0" collapsed="false">
      <c r="A36" s="53"/>
      <c r="B36" s="54"/>
      <c r="C36" s="55"/>
      <c r="D36" s="53"/>
      <c r="E36" s="53"/>
      <c r="F36" s="53"/>
      <c r="G36" s="53"/>
      <c r="H36" s="56"/>
    </row>
    <row r="37" customFormat="false" ht="19.5" hidden="false" customHeight="true" outlineLevel="0" collapsed="false">
      <c r="A37" s="53"/>
      <c r="B37" s="54"/>
      <c r="C37" s="55"/>
      <c r="D37" s="53"/>
      <c r="E37" s="53"/>
      <c r="F37" s="53"/>
      <c r="G37" s="53"/>
      <c r="H37" s="56"/>
    </row>
    <row r="38" customFormat="false" ht="19.5" hidden="false" customHeight="true" outlineLevel="0" collapsed="false">
      <c r="A38" s="53"/>
      <c r="B38" s="54"/>
      <c r="C38" s="55"/>
      <c r="D38" s="53"/>
      <c r="E38" s="53"/>
      <c r="F38" s="53"/>
      <c r="G38" s="53"/>
      <c r="H38" s="56"/>
    </row>
    <row r="39" customFormat="false" ht="19.5" hidden="false" customHeight="true" outlineLevel="0" collapsed="false">
      <c r="A39" s="53"/>
      <c r="B39" s="54"/>
      <c r="C39" s="55"/>
      <c r="D39" s="53"/>
      <c r="E39" s="53"/>
      <c r="F39" s="53"/>
      <c r="G39" s="53"/>
      <c r="H39" s="56"/>
    </row>
    <row r="40" customFormat="false" ht="19.5" hidden="false" customHeight="true" outlineLevel="0" collapsed="false">
      <c r="A40" s="53"/>
      <c r="B40" s="54"/>
      <c r="C40" s="55"/>
      <c r="D40" s="53"/>
      <c r="E40" s="53"/>
      <c r="F40" s="53"/>
      <c r="G40" s="53"/>
      <c r="H40" s="56"/>
    </row>
    <row r="42" customFormat="false" ht="15" hidden="false" customHeight="false" outlineLevel="0" collapsed="false">
      <c r="A42" s="57" t="s">
        <v>169</v>
      </c>
      <c r="B42" s="58" t="n">
        <f aca="false">COUNT($B$3:$B$40)</f>
        <v>0</v>
      </c>
    </row>
    <row r="43" customFormat="false" ht="15" hidden="false" customHeight="false" outlineLevel="0" collapsed="false">
      <c r="A43" s="57" t="s">
        <v>170</v>
      </c>
      <c r="B43" s="59" t="n">
        <f aca="false">SUM($B$3:$B$40)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2026-09-04T19:12:36Z</dcterms:created>
  <dc:creator>openpyxl</dc:creator>
  <dc:description/>
  <dc:language>en-US</dc:language>
  <cp:lastModifiedBy/>
  <dcterms:modified xsi:type="dcterms:W3CDTF">2026-09-04T19:12:36Z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